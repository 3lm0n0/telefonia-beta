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ian.e.venieri\Documents\telefonica\excels\"/>
    </mc:Choice>
  </mc:AlternateContent>
  <bookViews>
    <workbookView minimized="1" xWindow="0" yWindow="6600" windowWidth="19200" windowHeight="10155" firstSheet="3" activeTab="5"/>
  </bookViews>
  <sheets>
    <sheet name="cliente" sheetId="1" r:id="rId1"/>
    <sheet name="tipo_factura" sheetId="2" r:id="rId2"/>
    <sheet name="facturas" sheetId="3" r:id="rId3"/>
    <sheet name="proveedor" sheetId="4" r:id="rId4"/>
    <sheet name="base_facturas" sheetId="5" r:id="rId5"/>
    <sheet name="impuestos" sheetId="6" r:id="rId6"/>
    <sheet name="Sheet1" sheetId="7" r:id="rId7"/>
  </sheets>
  <functionGroups builtInGroupCount="18"/>
  <calcPr calcId="171027"/>
  <pivotCaches>
    <pivotCache cacheId="0" r:id="rId8"/>
    <pivotCache cacheId="1" r:id="rId9"/>
    <pivotCache cacheId="2" r:id="rId10"/>
    <pivotCache cacheId="3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liente_2a03caec-0d72-401a-957c-b0c90a6eb7ab" name="cliente" connection="CPX-9ACF67OYL6Y_SQLTELEFONICA telefonica Multiple Tables"/>
          <x15:modelTable id="factura_74cb2544-7b2f-4355-bec5-d1f3fdd8dd07" name="factura" connection="CPX-9ACF67OYL6Y_SQLTELEFONICA telefonica Multiple Tables"/>
          <x15:modelTable id="factura_electricidad_aaf186f6-e838-4d33-a6dc-db2147cc620f" name="factura_electricidad" connection="CPX-9ACF67OYL6Y_SQLTELEFONICA telefonica Multiple Tables"/>
          <x15:modelTable id="provedor_39559569-4455-491e-9f9d-baf6d8d6b0b5" name="provedor" connection="CPX-9ACF67OYL6Y_SQLTELEFONICA telefonica Multiple Tables"/>
          <x15:modelTable id="sysdiagrams_65ae5087-7393-4c55-bd20-0de1008b1821" name="sysdiagrams" connection="CPX-9ACF67OYL6Y_SQLTELEFONICA telefonica Multiple Tables"/>
        </x15:modelTables>
        <x15:modelRelationships>
          <x15:modelRelationship fromTable="factura" fromColumn="id_cliente" toTable="cliente" toColumn="id_cliente"/>
          <x15:modelRelationship fromTable="factura" fromColumn="id_tipo_factura" toTable="factura_electricidad" toColumn="id_tipo_factura"/>
          <x15:modelRelationship fromTable="factura" fromColumn="id_provedor" toTable="provedor" toColumn="id_provedor"/>
        </x15:modelRelationships>
      </x15:dataModel>
    </ext>
  </extLst>
</workbook>
</file>

<file path=xl/calcChain.xml><?xml version="1.0" encoding="utf-8"?>
<calcChain xmlns="http://schemas.openxmlformats.org/spreadsheetml/2006/main">
  <c r="B15" i="7" l="1"/>
  <c r="B20" i="7" s="1"/>
  <c r="B4" i="7"/>
  <c r="B5" i="7" s="1"/>
</calcChain>
</file>

<file path=xl/connections.xml><?xml version="1.0" encoding="utf-8"?>
<connections xmlns="http://schemas.openxmlformats.org/spreadsheetml/2006/main">
  <connection id="1" odcFile="C:\Users\pedro.jose.bidoggia\Documents\My Data Sources\CPX-9ACF67OYL6Y_SQLTELEFONICA telefonica Multiple Tables.odc" name="CPX-9ACF67OYL6Y_SQLTELEFONICA telefonica Multiple Tables" type="100" refreshedVersion="6" minRefreshableVersion="5">
    <extLst>
      <ext xmlns:x15="http://schemas.microsoft.com/office/spreadsheetml/2010/11/main" uri="{DE250136-89BD-433C-8126-D09CA5730AF9}">
        <x15:connection id="6feb29f2-d8d0-492d-b088-08499e07f5af" autoDelete="1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<sst xmlns="http://schemas.openxmlformats.org/spreadsheetml/2006/main" count="193" uniqueCount="123">
  <si>
    <t>30-67881435-7</t>
  </si>
  <si>
    <t>TELEFONICA MOV. ARGENTINA S.A.</t>
  </si>
  <si>
    <t>IGUAZU 341</t>
  </si>
  <si>
    <t>CAPITAL FEDERAL</t>
  </si>
  <si>
    <t>1437</t>
  </si>
  <si>
    <t>cuit</t>
  </si>
  <si>
    <t>razon_social</t>
  </si>
  <si>
    <t>domicilio</t>
  </si>
  <si>
    <t>localidad</t>
  </si>
  <si>
    <t>cp</t>
  </si>
  <si>
    <t>id_tipo_factura</t>
  </si>
  <si>
    <t>mes_liquidado</t>
  </si>
  <si>
    <t>1/17</t>
  </si>
  <si>
    <t>energia_liquidada_kwh</t>
  </si>
  <si>
    <t>vencimiento</t>
  </si>
  <si>
    <t>2017-02-07</t>
  </si>
  <si>
    <t>monto</t>
  </si>
  <si>
    <t>8.943,54</t>
  </si>
  <si>
    <t>prox_vencimiento</t>
  </si>
  <si>
    <t>2017-03-07</t>
  </si>
  <si>
    <t>id_provedor</t>
  </si>
  <si>
    <t>1</t>
  </si>
  <si>
    <t>30-65511651-2</t>
  </si>
  <si>
    <t>EDESUR</t>
  </si>
  <si>
    <t>SAN JOSÉ 140</t>
  </si>
  <si>
    <t>1076</t>
  </si>
  <si>
    <t>provincia</t>
  </si>
  <si>
    <t>BUENOS AIRES</t>
  </si>
  <si>
    <t>iva%</t>
  </si>
  <si>
    <t>iibb%</t>
  </si>
  <si>
    <t>id_cliente</t>
  </si>
  <si>
    <t>80050225-1</t>
  </si>
  <si>
    <t>id_factura</t>
  </si>
  <si>
    <t>9904-00483232</t>
  </si>
  <si>
    <t>Sociedad</t>
  </si>
  <si>
    <t>Código de Proveedor SAP</t>
  </si>
  <si>
    <t>n factura</t>
  </si>
  <si>
    <t>fecha vencimiento</t>
  </si>
  <si>
    <t>FechaBase</t>
  </si>
  <si>
    <t>Importe Total</t>
  </si>
  <si>
    <t>Categoria de Costo</t>
  </si>
  <si>
    <t>ViaPago</t>
  </si>
  <si>
    <t>ViaPagoSuplem</t>
  </si>
  <si>
    <t>PEDIDO 2012</t>
  </si>
  <si>
    <t>POS</t>
  </si>
  <si>
    <t>BancoPropio</t>
  </si>
  <si>
    <t>BancoInter</t>
  </si>
  <si>
    <t>CC Centralizado Número</t>
  </si>
  <si>
    <t>Nombre Recep Alter</t>
  </si>
  <si>
    <t>Medidor</t>
  </si>
  <si>
    <t>Partida</t>
  </si>
  <si>
    <t>Retenciones</t>
  </si>
  <si>
    <t>ArchivoSalida</t>
  </si>
  <si>
    <t>NIF</t>
  </si>
  <si>
    <t>tbpSoloIVA27</t>
  </si>
  <si>
    <t>tbpSoloIVA21</t>
  </si>
  <si>
    <t>tbpSoloIIBB</t>
  </si>
  <si>
    <t>tbpSoloPorcIIBB</t>
  </si>
  <si>
    <t>tbpTipoIIBB</t>
  </si>
  <si>
    <t>tbpSoloPercIVA</t>
  </si>
  <si>
    <t>tbpSoloPorcIVA</t>
  </si>
  <si>
    <t>HEA</t>
  </si>
  <si>
    <t>tbpCodDebBancario</t>
  </si>
  <si>
    <t>Cantidad de Edificios</t>
  </si>
  <si>
    <t>Cantidad de Medidores</t>
  </si>
  <si>
    <t>SI</t>
  </si>
  <si>
    <t>EDESUR S.A.</t>
  </si>
  <si>
    <t>IVA</t>
  </si>
  <si>
    <t>TASA</t>
  </si>
  <si>
    <t>CABA</t>
  </si>
  <si>
    <t>2,5 / 5</t>
  </si>
  <si>
    <t>TMA</t>
  </si>
  <si>
    <t>EDENOR S.A.</t>
  </si>
  <si>
    <t>EDEA S.A.</t>
  </si>
  <si>
    <t>EDELAP S.A.</t>
  </si>
  <si>
    <t>8 / 2,5 /5</t>
  </si>
  <si>
    <t>EMPRESA PROVINCIAL DE ENERGIA DE CORDOBA</t>
  </si>
  <si>
    <t>CORDOBA</t>
  </si>
  <si>
    <t>Manual</t>
  </si>
  <si>
    <t>EDESAL S.A.</t>
  </si>
  <si>
    <t>AGUAS BONAERENSES S.A.</t>
  </si>
  <si>
    <t>ENERGIA SAN JUAN S.A.</t>
  </si>
  <si>
    <t>27 y 21</t>
  </si>
  <si>
    <t>SAN JUAN</t>
  </si>
  <si>
    <t>E.D.E.M. S.A.</t>
  </si>
  <si>
    <t>EMP.PROVINCIAL DE LA ENERGIA DE SANTA FE</t>
  </si>
  <si>
    <t>ARBA</t>
  </si>
  <si>
    <t>EXENTO</t>
  </si>
  <si>
    <t>IVA%</t>
  </si>
  <si>
    <t>IIBB%</t>
  </si>
  <si>
    <t>Provincia</t>
  </si>
  <si>
    <t>Telefonica</t>
  </si>
  <si>
    <t>EPEN (ENTE PROVINCIAL DE ENERGIA DE NEUQUEN)</t>
  </si>
  <si>
    <t>IVA%2</t>
  </si>
  <si>
    <t>N° Proveedor</t>
  </si>
  <si>
    <t>N° Cliente</t>
  </si>
  <si>
    <t>CUIT/NIF</t>
  </si>
  <si>
    <t>Razón social</t>
  </si>
  <si>
    <t>Tipo de factura</t>
  </si>
  <si>
    <t>0083</t>
  </si>
  <si>
    <t>0370</t>
  </si>
  <si>
    <t>TMA y TCP</t>
  </si>
  <si>
    <t>Abre el txt, lo recorre fila por fila, hasta el final.</t>
  </si>
  <si>
    <t>Primero identifica al proveedor que emite la factura.</t>
  </si>
  <si>
    <t>Completa los diccionarios de cada campo a levantar de la factura.</t>
  </si>
  <si>
    <t xml:space="preserve">Cuando detecta la palabra clave del diccionario en el texto de la fila, llama a la función que corresponde para ese campo y proveedor. </t>
  </si>
  <si>
    <t>Ésta función limpia la data para quedarse sólo con el valor que nos interesa.</t>
  </si>
  <si>
    <t>numero_cliente</t>
  </si>
  <si>
    <t>numeroCliente(fila)</t>
  </si>
  <si>
    <t>diccionario_numeroCliente</t>
  </si>
  <si>
    <t>f_nroFactura(proveedor, fila)</t>
  </si>
  <si>
    <t>f_nroFactura_proveedor(fila)</t>
  </si>
  <si>
    <t>diccionario_numeroCliente_edesur</t>
  </si>
  <si>
    <t>b_main</t>
  </si>
  <si>
    <t>d_functions</t>
  </si>
  <si>
    <t>f_dictionaries</t>
  </si>
  <si>
    <t>g_array_functions</t>
  </si>
  <si>
    <t>f_dictionaries_proveedor</t>
  </si>
  <si>
    <t>g_array_functions_proveedor</t>
  </si>
  <si>
    <t>campo_factura</t>
  </si>
  <si>
    <t>campoFactura(proveedor)</t>
  </si>
  <si>
    <t>diccionario_campoFactura_proveedor</t>
  </si>
  <si>
    <t>campoFactura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</si>
</sst>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0"/>
      <color indexed="8"/>
      <name val="Arial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0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pivotButton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</cellXfs>
  <cellStyles count="1">
    <cellStyle name="Normal" xfId="0" builtinId="0"/>
  </cellStyles>
  <dxfs count="19"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0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9525</xdr:rowOff>
    </xdr:from>
    <xdr:to>
      <xdr:col>6</xdr:col>
      <xdr:colOff>19050</xdr:colOff>
      <xdr:row>10</xdr:row>
      <xdr:rowOff>0</xdr:rowOff>
    </xdr:to>
    <xdr:sp macro="" textlink="">
      <xdr:nvSpPr>
        <xdr:cNvPr id="2" name="Arrow: Striped Right 1">
          <a:extLst>
            <a:ext uri="{FF2B5EF4-FFF2-40B4-BE49-F238E27FC236}">
              <a16:creationId xmlns:a16="http://schemas.microsoft.com/office/drawing/2014/main" id="{281589FC-69AA-41DC-BC5C-3DA6C58836C0}"/>
            </a:ext>
          </a:extLst>
        </xdr:cNvPr>
        <xdr:cNvSpPr/>
      </xdr:nvSpPr>
      <xdr:spPr>
        <a:xfrm>
          <a:off x="2981325" y="1724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9525</xdr:colOff>
      <xdr:row>14</xdr:row>
      <xdr:rowOff>0</xdr:rowOff>
    </xdr:from>
    <xdr:to>
      <xdr:col>6</xdr:col>
      <xdr:colOff>28575</xdr:colOff>
      <xdr:row>14</xdr:row>
      <xdr:rowOff>180975</xdr:rowOff>
    </xdr:to>
    <xdr:sp macro="" textlink="">
      <xdr:nvSpPr>
        <xdr:cNvPr id="4" name="Arrow: Striped Right 3">
          <a:extLst>
            <a:ext uri="{FF2B5EF4-FFF2-40B4-BE49-F238E27FC236}">
              <a16:creationId xmlns:a16="http://schemas.microsoft.com/office/drawing/2014/main" id="{1849ED2D-D864-402F-B903-5EB453C38FA0}"/>
            </a:ext>
          </a:extLst>
        </xdr:cNvPr>
        <xdr:cNvSpPr/>
      </xdr:nvSpPr>
      <xdr:spPr>
        <a:xfrm>
          <a:off x="2990850" y="2476500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9525</xdr:colOff>
      <xdr:row>19</xdr:row>
      <xdr:rowOff>0</xdr:rowOff>
    </xdr:from>
    <xdr:to>
      <xdr:col>6</xdr:col>
      <xdr:colOff>28575</xdr:colOff>
      <xdr:row>19</xdr:row>
      <xdr:rowOff>180975</xdr:rowOff>
    </xdr:to>
    <xdr:sp macro="" textlink="">
      <xdr:nvSpPr>
        <xdr:cNvPr id="5" name="Arrow: Striped Right 4">
          <a:extLst>
            <a:ext uri="{FF2B5EF4-FFF2-40B4-BE49-F238E27FC236}">
              <a16:creationId xmlns:a16="http://schemas.microsoft.com/office/drawing/2014/main" id="{647D06E1-EC22-412A-A425-52113400CC77}"/>
            </a:ext>
          </a:extLst>
        </xdr:cNvPr>
        <xdr:cNvSpPr/>
      </xdr:nvSpPr>
      <xdr:spPr>
        <a:xfrm>
          <a:off x="2990850" y="3238500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9</xdr:row>
      <xdr:rowOff>9525</xdr:rowOff>
    </xdr:from>
    <xdr:to>
      <xdr:col>10</xdr:col>
      <xdr:colOff>19050</xdr:colOff>
      <xdr:row>10</xdr:row>
      <xdr:rowOff>0</xdr:rowOff>
    </xdr:to>
    <xdr:sp macro="" textlink="">
      <xdr:nvSpPr>
        <xdr:cNvPr id="6" name="Arrow: Striped Right 5">
          <a:extLst>
            <a:ext uri="{FF2B5EF4-FFF2-40B4-BE49-F238E27FC236}">
              <a16:creationId xmlns:a16="http://schemas.microsoft.com/office/drawing/2014/main" id="{1710F5C8-0E08-4E59-80B5-56CB7D7259D4}"/>
            </a:ext>
          </a:extLst>
        </xdr:cNvPr>
        <xdr:cNvSpPr/>
      </xdr:nvSpPr>
      <xdr:spPr>
        <a:xfrm>
          <a:off x="5743575" y="1724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9525</xdr:colOff>
      <xdr:row>14</xdr:row>
      <xdr:rowOff>19050</xdr:rowOff>
    </xdr:from>
    <xdr:to>
      <xdr:col>10</xdr:col>
      <xdr:colOff>28575</xdr:colOff>
      <xdr:row>15</xdr:row>
      <xdr:rowOff>9525</xdr:rowOff>
    </xdr:to>
    <xdr:sp macro="" textlink="">
      <xdr:nvSpPr>
        <xdr:cNvPr id="7" name="Arrow: Striped Right 6">
          <a:extLst>
            <a:ext uri="{FF2B5EF4-FFF2-40B4-BE49-F238E27FC236}">
              <a16:creationId xmlns:a16="http://schemas.microsoft.com/office/drawing/2014/main" id="{F3FD8A7C-B4D1-420A-8B67-2FC7A6DD2BB7}"/>
            </a:ext>
          </a:extLst>
        </xdr:cNvPr>
        <xdr:cNvSpPr/>
      </xdr:nvSpPr>
      <xdr:spPr>
        <a:xfrm>
          <a:off x="5753100" y="2495550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19</xdr:row>
      <xdr:rowOff>9525</xdr:rowOff>
    </xdr:from>
    <xdr:to>
      <xdr:col>10</xdr:col>
      <xdr:colOff>19050</xdr:colOff>
      <xdr:row>20</xdr:row>
      <xdr:rowOff>0</xdr:rowOff>
    </xdr:to>
    <xdr:sp macro="" textlink="">
      <xdr:nvSpPr>
        <xdr:cNvPr id="8" name="Arrow: Striped Right 7">
          <a:extLst>
            <a:ext uri="{FF2B5EF4-FFF2-40B4-BE49-F238E27FC236}">
              <a16:creationId xmlns:a16="http://schemas.microsoft.com/office/drawing/2014/main" id="{E1A9EB56-3451-4FEE-9C41-E3C042628291}"/>
            </a:ext>
          </a:extLst>
        </xdr:cNvPr>
        <xdr:cNvSpPr/>
      </xdr:nvSpPr>
      <xdr:spPr>
        <a:xfrm>
          <a:off x="5743575" y="3248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9525</xdr:colOff>
      <xdr:row>19</xdr:row>
      <xdr:rowOff>9525</xdr:rowOff>
    </xdr:from>
    <xdr:to>
      <xdr:col>14</xdr:col>
      <xdr:colOff>28575</xdr:colOff>
      <xdr:row>20</xdr:row>
      <xdr:rowOff>0</xdr:rowOff>
    </xdr:to>
    <xdr:sp macro="" textlink="">
      <xdr:nvSpPr>
        <xdr:cNvPr id="9" name="Arrow: Striped Right 8">
          <a:extLst>
            <a:ext uri="{FF2B5EF4-FFF2-40B4-BE49-F238E27FC236}">
              <a16:creationId xmlns:a16="http://schemas.microsoft.com/office/drawing/2014/main" id="{5CA35BF8-17C2-4BC4-90DA-D4FDE66BBAF9}"/>
            </a:ext>
          </a:extLst>
        </xdr:cNvPr>
        <xdr:cNvSpPr/>
      </xdr:nvSpPr>
      <xdr:spPr>
        <a:xfrm>
          <a:off x="9115425" y="3248025"/>
          <a:ext cx="333375" cy="180975"/>
        </a:xfrm>
        <a:prstGeom prst="stripedRightArrow">
          <a:avLst/>
        </a:prstGeom>
        <a:solidFill>
          <a:srgbClr val="00B0F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59246990741" backgroundQuery="1" createdVersion="6" refreshedVersion="6" minRefreshableVersion="3" recordCount="0" supportSubquery="1" supportAdvancedDrill="1">
  <cacheSource type="external" connectionId="2"/>
  <cacheFields count="9">
    <cacheField name="[provedor].[id_provedor].[id_provedor]" caption="id_provedor" numFmtId="0" hierarchy="16" level="1">
      <sharedItems count="1">
        <s v="1"/>
      </sharedItems>
    </cacheField>
    <cacheField name="[provedor].[cuit].[cuit]" caption="cuit" numFmtId="0" hierarchy="17" level="1">
      <sharedItems count="1">
        <s v="30-65511651-2"/>
      </sharedItems>
    </cacheField>
    <cacheField name="[provedor].[razon_social].[razon_social]" caption="razon_social" numFmtId="0" hierarchy="18" level="1">
      <sharedItems count="1">
        <s v="EDESUR"/>
      </sharedItems>
    </cacheField>
    <cacheField name="[provedor].[domicilio].[domicilio]" caption="domicilio" numFmtId="0" hierarchy="19" level="1">
      <sharedItems count="1">
        <s v="SAN JOSÉ 140"/>
      </sharedItems>
    </cacheField>
    <cacheField name="[provedor].[localidad].[localidad]" caption="localidad" numFmtId="0" hierarchy="20" level="1">
      <sharedItems count="1">
        <s v="CAPITAL FEDERAL"/>
      </sharedItems>
    </cacheField>
    <cacheField name="[provedor].[cp].[cp]" caption="cp" numFmtId="0" hierarchy="21" level="1">
      <sharedItems count="1">
        <s v="1076"/>
      </sharedItems>
    </cacheField>
    <cacheField name="[provedor].[provincia].[provincia]" caption="provincia" numFmtId="0" hierarchy="22" level="1">
      <sharedItems count="1">
        <s v="BUENOS AIRES"/>
      </sharedItems>
    </cacheField>
    <cacheField name="[provedor].[iva%].[iva%]" caption="iva%" numFmtId="0" hierarchy="23" level="1">
      <sharedItems containsSemiMixedTypes="0" containsString="0" containsNumber="1" containsInteger="1" minValue="27" maxValue="27" count="1">
        <n v="27"/>
      </sharedItems>
    </cacheField>
    <cacheField name="[provedor].[iibb%].[iibb%]" caption="iibb%" numFmtId="0" hierarchy="24" level="1">
      <sharedItems containsSemiMixedTypes="0" containsString="0" containsNumber="1" minValue="20.239999999999998" maxValue="20.239999999999998" count="1">
        <n v="20.239999999999998"/>
      </sharedItems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0" memberValueDatatype="130" unbalanced="0"/>
    <cacheHierarchy uniqueName="[cliente].[cuit]" caption="cuit" attribute="1" defaultMemberUniqueName="[cliente].[cuit].[All]" allUniqueName="[cliente].[cuit].[All]" dimensionUniqueName="[cliente]" displayFolder="" count="0" memberValueDatatype="130" unbalanced="0"/>
    <cacheHierarchy uniqueName="[cliente].[razon_social]" caption="razon_social" attribute="1" defaultMemberUniqueName="[cliente].[razon_social].[All]" allUniqueName="[cliente].[razon_social].[All]" dimensionUniqueName="[cliente]" displayFolder="" count="0" memberValueDatatype="130" unbalanced="0"/>
    <cacheHierarchy uniqueName="[cliente].[domicilio]" caption="domicilio" attribute="1" defaultMemberUniqueName="[cliente].[domicilio].[All]" allUniqueName="[cliente].[domicilio].[All]" dimensionUniqueName="[cliente]" displayFolder="" count="0" memberValueDatatype="130" unbalanced="0"/>
    <cacheHierarchy uniqueName="[cliente].[localidad]" caption="localidad" attribute="1" defaultMemberUniqueName="[cliente].[localidad].[All]" allUniqueName="[cliente].[localidad].[All]" dimensionUniqueName="[cliente]" displayFolder="" count="0" memberValueDatatype="130" unbalanced="0"/>
    <cacheHierarchy uniqueName="[cliente].[cp]" caption="cp" attribute="1" defaultMemberUniqueName="[cliente].[cp].[All]" allUniqueName="[cliente].[cp].[All]" dimensionUniqueName="[cliente]" displayFolder="" count="0" memberValueDatatype="130" unbalanced="0"/>
    <cacheHierarchy uniqueName="[factura].[id_factura]" caption="id_factura" attribute="1" defaultMemberUniqueName="[factura].[id_factura].[All]" allUniqueName="[factura].[id_factura].[All]" dimensionUniqueName="[factura]" displayFolder="" count="0" memberValueDatatype="130" unbalanced="0"/>
    <cacheHierarchy uniqueName="[factura].[id_cliente]" caption="id_cliente" attribute="1" defaultMemberUniqueName="[factura].[id_cliente].[All]" allUniqueName="[factura].[id_cliente].[All]" dimensionUniqueName="[factura]" displayFolder="" count="0" memberValueDatatype="130" unbalanced="0"/>
    <cacheHierarchy uniqueName="[factura].[id_provedor]" caption="id_provedor" attribute="1" defaultMemberUniqueName="[factura].[id_provedor].[All]" allUniqueName="[factura].[id_provedor].[All]" dimensionUniqueName="[factura]" displayFolder="" count="0" memberValueDatatype="130" unbalanced="0"/>
    <cacheHierarchy uniqueName="[factura].[id_tipo_factura]" caption="id_tipo_factura" attribute="1" defaultMemberUniqueName="[factura].[id_tipo_factura].[All]" allUniqueName="[factura].[id_tipo_factura].[All]" dimensionUniqueName="[factura]" displayFolder="" count="2" memberValueDatatype="20" unbalanced="0"/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0" memberValueDatatype="20" unbalanced="0"/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2" memberValueDatatype="130" unbalanced="0"/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2" memberValueDatatype="5" unbalanced="0"/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2" memberValueDatatype="130" unbalanced="0"/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2" memberValueDatatype="130" unbalanced="0"/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2" memberValueDatatype="130" unbalanced="0"/>
    <cacheHierarchy uniqueName="[provedor].[id_provedor]" caption="id_provedor" attribute="1" defaultMemberUniqueName="[provedor].[id_provedor].[All]" allUniqueName="[provedor].[id_provedor].[All]" dimensionUniqueName="[provedor]" displayFolder="" count="2" memberValueDatatype="130" unbalanced="0">
      <fieldsUsage count="2">
        <fieldUsage x="-1"/>
        <fieldUsage x="0"/>
      </fieldsUsage>
    </cacheHierarchy>
    <cacheHierarchy uniqueName="[provedor].[cuit]" caption="cuit" attribute="1" defaultMemberUniqueName="[provedor].[cuit].[All]" allUniqueName="[provedor].[cuit].[All]" dimensionUniqueName="[provedor]" displayFolder="" count="2" memberValueDatatype="130" unbalanced="0">
      <fieldsUsage count="2">
        <fieldUsage x="-1"/>
        <fieldUsage x="1"/>
      </fieldsUsage>
    </cacheHierarchy>
    <cacheHierarchy uniqueName="[provedor].[razon_social]" caption="razon_social" attribute="1" defaultMemberUniqueName="[provedor].[razon_social].[All]" allUniqueName="[provedor].[razon_social].[All]" dimensionUniqueName="[provedor]" displayFolder="" count="2" memberValueDatatype="130" unbalanced="0">
      <fieldsUsage count="2">
        <fieldUsage x="-1"/>
        <fieldUsage x="2"/>
      </fieldsUsage>
    </cacheHierarchy>
    <cacheHierarchy uniqueName="[provedor].[domicilio]" caption="domicilio" attribute="1" defaultMemberUniqueName="[provedor].[domicilio].[All]" allUniqueName="[provedor].[domicilio].[All]" dimensionUniqueName="[provedor]" displayFolder="" count="2" memberValueDatatype="130" unbalanced="0">
      <fieldsUsage count="2">
        <fieldUsage x="-1"/>
        <fieldUsage x="3"/>
      </fieldsUsage>
    </cacheHierarchy>
    <cacheHierarchy uniqueName="[provedor].[localidad]" caption="localidad" attribute="1" defaultMemberUniqueName="[provedor].[localidad].[All]" allUniqueName="[provedor].[localidad].[All]" dimensionUniqueName="[provedor]" displayFolder="" count="2" memberValueDatatype="130" unbalanced="0">
      <fieldsUsage count="2">
        <fieldUsage x="-1"/>
        <fieldUsage x="4"/>
      </fieldsUsage>
    </cacheHierarchy>
    <cacheHierarchy uniqueName="[provedor].[cp]" caption="cp" attribute="1" defaultMemberUniqueName="[provedor].[cp].[All]" allUniqueName="[provedor].[cp].[All]" dimensionUniqueName="[provedor]" displayFolder="" count="2" memberValueDatatype="130" unbalanced="0">
      <fieldsUsage count="2">
        <fieldUsage x="-1"/>
        <fieldUsage x="5"/>
      </fieldsUsage>
    </cacheHierarchy>
    <cacheHierarchy uniqueName="[provedor].[provincia]" caption="provincia" attribute="1" defaultMemberUniqueName="[provedor].[provincia].[All]" allUniqueName="[provedor].[provincia].[All]" dimensionUniqueName="[provedor]" displayFolder="" count="2" memberValueDatatype="130" unbalanced="0">
      <fieldsUsage count="2">
        <fieldUsage x="-1"/>
        <fieldUsage x="6"/>
      </fieldsUsage>
    </cacheHierarchy>
    <cacheHierarchy uniqueName="[provedor].[iva%]" caption="iva%" attribute="1" defaultMemberUniqueName="[provedor].[iva%].[All]" allUniqueName="[provedor].[iva%].[All]" dimensionUniqueName="[provedor]" displayFolder="" count="2" memberValueDatatype="5" unbalanced="0">
      <fieldsUsage count="2">
        <fieldUsage x="-1"/>
        <fieldUsage x="7"/>
      </fieldsUsage>
    </cacheHierarchy>
    <cacheHierarchy uniqueName="[provedor].[iibb%]" caption="iibb%" attribute="1" defaultMemberUniqueName="[provedor].[iibb%].[All]" allUniqueName="[provedor].[iibb%].[All]" dimensionUniqueName="[provedor]" displayFolder="" count="2" memberValueDatatype="5" unbalanced="0">
      <fieldsUsage count="2">
        <fieldUsage x="-1"/>
        <fieldUsage x="8"/>
      </fieldsUsage>
    </cacheHierarchy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59493749998" backgroundQuery="1" createdVersion="6" refreshedVersion="6" minRefreshableVersion="3" recordCount="0" supportSubquery="1" supportAdvancedDrill="1">
  <cacheSource type="external" connectionId="2"/>
  <cacheFields count="6">
    <cacheField name="[cliente].[cuit].[cuit]" caption="cuit" numFmtId="0" hierarchy="1" level="1">
      <sharedItems count="1">
        <s v="30-67881435-7"/>
      </sharedItems>
    </cacheField>
    <cacheField name="[cliente].[razon_social].[razon_social]" caption="razon_social" numFmtId="0" hierarchy="2" level="1">
      <sharedItems count="1">
        <s v="TELEFONICA MOV. ARGENTINA S.A."/>
      </sharedItems>
    </cacheField>
    <cacheField name="[cliente].[domicilio].[domicilio]" caption="domicilio" numFmtId="0" hierarchy="3" level="1">
      <sharedItems count="1">
        <s v="IGUAZU 341"/>
      </sharedItems>
    </cacheField>
    <cacheField name="[cliente].[localidad].[localidad]" caption="localidad" numFmtId="0" hierarchy="4" level="1">
      <sharedItems count="1">
        <s v="CAPITAL FEDERAL"/>
      </sharedItems>
    </cacheField>
    <cacheField name="[cliente].[cp].[cp]" caption="cp" numFmtId="0" hierarchy="5" level="1">
      <sharedItems count="1">
        <s v="1437"/>
      </sharedItems>
    </cacheField>
    <cacheField name="[cliente].[id_cliente].[id_cliente]" caption="id_cliente" numFmtId="0" level="1">
      <sharedItems count="1">
        <s v="80050225-1"/>
      </sharedItems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2" memberValueDatatype="130" unbalanced="0">
      <fieldsUsage count="2">
        <fieldUsage x="-1"/>
        <fieldUsage x="5"/>
      </fieldsUsage>
    </cacheHierarchy>
    <cacheHierarchy uniqueName="[cliente].[cuit]" caption="cuit" attribute="1" defaultMemberUniqueName="[cliente].[cuit].[All]" allUniqueName="[cliente].[cuit].[All]" dimensionUniqueName="[cliente]" displayFolder="" count="2" memberValueDatatype="130" unbalanced="0">
      <fieldsUsage count="2">
        <fieldUsage x="-1"/>
        <fieldUsage x="0"/>
      </fieldsUsage>
    </cacheHierarchy>
    <cacheHierarchy uniqueName="[cliente].[razon_social]" caption="razon_social" attribute="1" defaultMemberUniqueName="[cliente].[razon_social].[All]" allUniqueName="[cliente].[razon_social].[All]" dimensionUniqueName="[cliente]" displayFolder="" count="2" memberValueDatatype="130" unbalanced="0">
      <fieldsUsage count="2">
        <fieldUsage x="-1"/>
        <fieldUsage x="1"/>
      </fieldsUsage>
    </cacheHierarchy>
    <cacheHierarchy uniqueName="[cliente].[domicilio]" caption="domicilio" attribute="1" defaultMemberUniqueName="[cliente].[domicilio].[All]" allUniqueName="[cliente].[domicilio].[All]" dimensionUniqueName="[cliente]" displayFolder="" count="2" memberValueDatatype="130" unbalanced="0">
      <fieldsUsage count="2">
        <fieldUsage x="-1"/>
        <fieldUsage x="2"/>
      </fieldsUsage>
    </cacheHierarchy>
    <cacheHierarchy uniqueName="[cliente].[localidad]" caption="localidad" attribute="1" defaultMemberUniqueName="[cliente].[localidad].[All]" allUniqueName="[cliente].[localidad].[All]" dimensionUniqueName="[cliente]" displayFolder="" count="2" memberValueDatatype="130" unbalanced="0">
      <fieldsUsage count="2">
        <fieldUsage x="-1"/>
        <fieldUsage x="3"/>
      </fieldsUsage>
    </cacheHierarchy>
    <cacheHierarchy uniqueName="[cliente].[cp]" caption="cp" attribute="1" defaultMemberUniqueName="[cliente].[cp].[All]" allUniqueName="[cliente].[cp].[All]" dimensionUniqueName="[cliente]" displayFolder="" count="2" memberValueDatatype="130" unbalanced="0">
      <fieldsUsage count="2">
        <fieldUsage x="-1"/>
        <fieldUsage x="4"/>
      </fieldsUsage>
    </cacheHierarchy>
    <cacheHierarchy uniqueName="[factura].[id_factura]" caption="id_factura" attribute="1" defaultMemberUniqueName="[factura].[id_factura].[All]" allUniqueName="[factura].[id_factura].[All]" dimensionUniqueName="[factura]" displayFolder="" count="0" memberValueDatatype="130" unbalanced="0"/>
    <cacheHierarchy uniqueName="[factura].[id_cliente]" caption="id_cliente" attribute="1" defaultMemberUniqueName="[factura].[id_cliente].[All]" allUniqueName="[factura].[id_cliente].[All]" dimensionUniqueName="[factura]" displayFolder="" count="0" memberValueDatatype="130" unbalanced="0"/>
    <cacheHierarchy uniqueName="[factura].[id_provedor]" caption="id_provedor" attribute="1" defaultMemberUniqueName="[factura].[id_provedor].[All]" allUniqueName="[factura].[id_provedor].[All]" dimensionUniqueName="[factura]" displayFolder="" count="0" memberValueDatatype="130" unbalanced="0"/>
    <cacheHierarchy uniqueName="[factura].[id_tipo_factura]" caption="id_tipo_factura" attribute="1" defaultMemberUniqueName="[factura].[id_tipo_factura].[All]" allUniqueName="[factura].[id_tipo_factura].[All]" dimensionUniqueName="[factura]" displayFolder="" count="0" memberValueDatatype="20" unbalanced="0"/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0" memberValueDatatype="20" unbalanced="0"/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0" memberValueDatatype="130" unbalanced="0"/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0" memberValueDatatype="5" unbalanced="0"/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0" memberValueDatatype="130" unbalanced="0"/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0" memberValueDatatype="130" unbalanced="0"/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0" memberValueDatatype="130" unbalanced="0"/>
    <cacheHierarchy uniqueName="[provedor].[id_provedor]" caption="id_provedor" attribute="1" defaultMemberUniqueName="[provedor].[id_provedor].[All]" allUniqueName="[provedor].[id_provedor].[All]" dimensionUniqueName="[provedor]" displayFolder="" count="0" memberValueDatatype="130" unbalanced="0"/>
    <cacheHierarchy uniqueName="[provedor].[cuit]" caption="cuit" attribute="1" defaultMemberUniqueName="[provedor].[cuit].[All]" allUniqueName="[provedor].[cuit].[All]" dimensionUniqueName="[provedor]" displayFolder="" count="0" memberValueDatatype="130" unbalanced="0"/>
    <cacheHierarchy uniqueName="[provedor].[razon_social]" caption="razon_social" attribute="1" defaultMemberUniqueName="[provedor].[razon_social].[All]" allUniqueName="[provedor].[razon_social].[All]" dimensionUniqueName="[provedor]" displayFolder="" count="0" memberValueDatatype="130" unbalanced="0"/>
    <cacheHierarchy uniqueName="[provedor].[domicilio]" caption="domicilio" attribute="1" defaultMemberUniqueName="[provedor].[domicilio].[All]" allUniqueName="[provedor].[domicilio].[All]" dimensionUniqueName="[provedor]" displayFolder="" count="0" memberValueDatatype="130" unbalanced="0"/>
    <cacheHierarchy uniqueName="[provedor].[localidad]" caption="localidad" attribute="1" defaultMemberUniqueName="[provedor].[localidad].[All]" allUniqueName="[provedor].[localidad].[All]" dimensionUniqueName="[provedor]" displayFolder="" count="0" memberValueDatatype="130" unbalanced="0"/>
    <cacheHierarchy uniqueName="[provedor].[cp]" caption="cp" attribute="1" defaultMemberUniqueName="[provedor].[cp].[All]" allUniqueName="[provedor].[cp].[All]" dimensionUniqueName="[provedor]" displayFolder="" count="0" memberValueDatatype="130" unbalanced="0"/>
    <cacheHierarchy uniqueName="[provedor].[provincia]" caption="provincia" attribute="1" defaultMemberUniqueName="[provedor].[provincia].[All]" allUniqueName="[provedor].[provincia].[All]" dimensionUniqueName="[provedor]" displayFolder="" count="0" memberValueDatatype="130" unbalanced="0"/>
    <cacheHierarchy uniqueName="[provedor].[iva%]" caption="iva%" attribute="1" defaultMemberUniqueName="[provedor].[iva%].[All]" allUniqueName="[provedor].[iva%].[All]" dimensionUniqueName="[provedor]" displayFolder="" count="0" memberValueDatatype="5" unbalanced="0"/>
    <cacheHierarchy uniqueName="[provedor].[iibb%]" caption="iibb%" attribute="1" defaultMemberUniqueName="[provedor].[iibb%].[All]" allUniqueName="[provedor].[iibb%].[All]" dimensionUniqueName="[provedor]" displayFolder="" count="0" memberValueDatatype="5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61138773146" backgroundQuery="1" createdVersion="6" refreshedVersion="6" minRefreshableVersion="3" recordCount="0" supportSubquery="1" supportAdvancedDrill="1">
  <cacheSource type="external" connectionId="2"/>
  <cacheFields count="6">
    <cacheField name="[factura_electricidad].[mes_liquidado].[mes_liquidado]" caption="mes_liquidado" numFmtId="0" hierarchy="11" level="1">
      <sharedItems count="1">
        <s v="1/17"/>
      </sharedItems>
    </cacheField>
    <cacheField name="[factura_electricidad].[energia_liquidada_kwh].[energia_liquidada_kwh]" caption="energia_liquidada_kwh" numFmtId="0" hierarchy="12" level="1">
      <sharedItems containsSemiMixedTypes="0" containsString="0" containsNumber="1" containsInteger="1" minValue="6840" maxValue="6840" count="1">
        <n v="6840"/>
      </sharedItems>
    </cacheField>
    <cacheField name="[factura_electricidad].[vencimiento].[vencimiento]" caption="vencimiento" numFmtId="0" hierarchy="13" level="1">
      <sharedItems count="1">
        <s v="2017-02-07"/>
      </sharedItems>
    </cacheField>
    <cacheField name="[factura_electricidad].[monto].[monto]" caption="monto" numFmtId="0" hierarchy="14" level="1">
      <sharedItems count="1">
        <s v="8.943,54"/>
      </sharedItems>
    </cacheField>
    <cacheField name="[factura_electricidad].[prox_vencimiento].[prox_vencimiento]" caption="prox_vencimiento" numFmtId="0" hierarchy="15" level="1">
      <sharedItems count="1">
        <s v="2017-03-07"/>
      </sharedItems>
    </cacheField>
    <cacheField name="[factura_electricidad].[id_tipo_factura].[id_tipo_factura]" caption="id_tipo_factura" numFmtId="0" hierarchy="10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factura_electricidad].[id_tipo_factura].&amp;[1]"/>
          </x15:cachedUniqueNames>
        </ext>
      </extLst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0" memberValueDatatype="130" unbalanced="0"/>
    <cacheHierarchy uniqueName="[cliente].[cuit]" caption="cuit" attribute="1" defaultMemberUniqueName="[cliente].[cuit].[All]" allUniqueName="[cliente].[cuit].[All]" dimensionUniqueName="[cliente]" displayFolder="" count="0" memberValueDatatype="130" unbalanced="0"/>
    <cacheHierarchy uniqueName="[cliente].[razon_social]" caption="razon_social" attribute="1" defaultMemberUniqueName="[cliente].[razon_social].[All]" allUniqueName="[cliente].[razon_social].[All]" dimensionUniqueName="[cliente]" displayFolder="" count="0" memberValueDatatype="130" unbalanced="0"/>
    <cacheHierarchy uniqueName="[cliente].[domicilio]" caption="domicilio" attribute="1" defaultMemberUniqueName="[cliente].[domicilio].[All]" allUniqueName="[cliente].[domicilio].[All]" dimensionUniqueName="[cliente]" displayFolder="" count="0" memberValueDatatype="130" unbalanced="0"/>
    <cacheHierarchy uniqueName="[cliente].[localidad]" caption="localidad" attribute="1" defaultMemberUniqueName="[cliente].[localidad].[All]" allUniqueName="[cliente].[localidad].[All]" dimensionUniqueName="[cliente]" displayFolder="" count="0" memberValueDatatype="130" unbalanced="0"/>
    <cacheHierarchy uniqueName="[cliente].[cp]" caption="cp" attribute="1" defaultMemberUniqueName="[cliente].[cp].[All]" allUniqueName="[cliente].[cp].[All]" dimensionUniqueName="[cliente]" displayFolder="" count="0" memberValueDatatype="130" unbalanced="0"/>
    <cacheHierarchy uniqueName="[factura].[id_factura]" caption="id_factura" attribute="1" defaultMemberUniqueName="[factura].[id_factura].[All]" allUniqueName="[factura].[id_factura].[All]" dimensionUniqueName="[factura]" displayFolder="" count="0" memberValueDatatype="130" unbalanced="0"/>
    <cacheHierarchy uniqueName="[factura].[id_cliente]" caption="id_cliente" attribute="1" defaultMemberUniqueName="[factura].[id_cliente].[All]" allUniqueName="[factura].[id_cliente].[All]" dimensionUniqueName="[factura]" displayFolder="" count="0" memberValueDatatype="130" unbalanced="0"/>
    <cacheHierarchy uniqueName="[factura].[id_provedor]" caption="id_provedor" attribute="1" defaultMemberUniqueName="[factura].[id_provedor].[All]" allUniqueName="[factura].[id_provedor].[All]" dimensionUniqueName="[factura]" displayFolder="" count="0" memberValueDatatype="130" unbalanced="0"/>
    <cacheHierarchy uniqueName="[factura].[id_tipo_factura]" caption="id_tipo_factura" attribute="1" defaultMemberUniqueName="[factura].[id_tipo_factura].[All]" allUniqueName="[factura].[id_tipo_factura].[All]" dimensionUniqueName="[factura]" displayFolder="" count="2" memberValueDatatype="20" unbalanced="0"/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2" memberValueDatatype="20" unbalanced="0">
      <fieldsUsage count="2">
        <fieldUsage x="-1"/>
        <fieldUsage x="5"/>
      </fieldsUsage>
    </cacheHierarchy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2" memberValueDatatype="130" unbalanced="0">
      <fieldsUsage count="2">
        <fieldUsage x="-1"/>
        <fieldUsage x="0"/>
      </fieldsUsage>
    </cacheHierarchy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2" memberValueDatatype="5" unbalanced="0">
      <fieldsUsage count="2">
        <fieldUsage x="-1"/>
        <fieldUsage x="1"/>
      </fieldsUsage>
    </cacheHierarchy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2" memberValueDatatype="130" unbalanced="0">
      <fieldsUsage count="2">
        <fieldUsage x="-1"/>
        <fieldUsage x="2"/>
      </fieldsUsage>
    </cacheHierarchy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2" memberValueDatatype="130" unbalanced="0">
      <fieldsUsage count="2">
        <fieldUsage x="-1"/>
        <fieldUsage x="3"/>
      </fieldsUsage>
    </cacheHierarchy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2" memberValueDatatype="130" unbalanced="0">
      <fieldsUsage count="2">
        <fieldUsage x="-1"/>
        <fieldUsage x="4"/>
      </fieldsUsage>
    </cacheHierarchy>
    <cacheHierarchy uniqueName="[provedor].[id_provedor]" caption="id_provedor" attribute="1" defaultMemberUniqueName="[provedor].[id_provedor].[All]" allUniqueName="[provedor].[id_provedor].[All]" dimensionUniqueName="[provedor]" displayFolder="" count="0" memberValueDatatype="130" unbalanced="0"/>
    <cacheHierarchy uniqueName="[provedor].[cuit]" caption="cuit" attribute="1" defaultMemberUniqueName="[provedor].[cuit].[All]" allUniqueName="[provedor].[cuit].[All]" dimensionUniqueName="[provedor]" displayFolder="" count="0" memberValueDatatype="130" unbalanced="0"/>
    <cacheHierarchy uniqueName="[provedor].[razon_social]" caption="razon_social" attribute="1" defaultMemberUniqueName="[provedor].[razon_social].[All]" allUniqueName="[provedor].[razon_social].[All]" dimensionUniqueName="[provedor]" displayFolder="" count="0" memberValueDatatype="130" unbalanced="0"/>
    <cacheHierarchy uniqueName="[provedor].[domicilio]" caption="domicilio" attribute="1" defaultMemberUniqueName="[provedor].[domicilio].[All]" allUniqueName="[provedor].[domicilio].[All]" dimensionUniqueName="[provedor]" displayFolder="" count="0" memberValueDatatype="130" unbalanced="0"/>
    <cacheHierarchy uniqueName="[provedor].[localidad]" caption="localidad" attribute="1" defaultMemberUniqueName="[provedor].[localidad].[All]" allUniqueName="[provedor].[localidad].[All]" dimensionUniqueName="[provedor]" displayFolder="" count="0" memberValueDatatype="130" unbalanced="0"/>
    <cacheHierarchy uniqueName="[provedor].[cp]" caption="cp" attribute="1" defaultMemberUniqueName="[provedor].[cp].[All]" allUniqueName="[provedor].[cp].[All]" dimensionUniqueName="[provedor]" displayFolder="" count="0" memberValueDatatype="130" unbalanced="0"/>
    <cacheHierarchy uniqueName="[provedor].[provincia]" caption="provincia" attribute="1" defaultMemberUniqueName="[provedor].[provincia].[All]" allUniqueName="[provedor].[provincia].[All]" dimensionUniqueName="[provedor]" displayFolder="" count="0" memberValueDatatype="130" unbalanced="0"/>
    <cacheHierarchy uniqueName="[provedor].[iva%]" caption="iva%" attribute="1" defaultMemberUniqueName="[provedor].[iva%].[All]" allUniqueName="[provedor].[iva%].[All]" dimensionUniqueName="[provedor]" displayFolder="" count="0" memberValueDatatype="5" unbalanced="0"/>
    <cacheHierarchy uniqueName="[provedor].[iibb%]" caption="iibb%" attribute="1" defaultMemberUniqueName="[provedor].[iibb%].[All]" allUniqueName="[provedor].[iibb%].[All]" dimensionUniqueName="[provedor]" displayFolder="" count="0" memberValueDatatype="5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Bidoggia, Pedro Jose" refreshedDate="42999.685167592594" backgroundQuery="1" createdVersion="6" refreshedVersion="6" minRefreshableVersion="3" recordCount="0" supportSubquery="1" supportAdvancedDrill="1">
  <cacheSource type="external" connectionId="2"/>
  <cacheFields count="4">
    <cacheField name="[factura].[id_tipo_factura].[id_tipo_factura]" caption="id_tipo_factura" numFmtId="0" hierarchy="9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factura].[id_tipo_factura].&amp;[1]"/>
          </x15:cachedUniqueNames>
        </ext>
      </extLst>
    </cacheField>
    <cacheField name="[factura].[id_factura].[id_factura]" caption="id_factura" numFmtId="0" hierarchy="6" level="1">
      <sharedItems count="1">
        <s v="9904-00483232"/>
      </sharedItems>
    </cacheField>
    <cacheField name="[factura].[id_cliente].[id_cliente]" caption="id_cliente" numFmtId="0" hierarchy="7" level="1">
      <sharedItems count="1">
        <s v="80050225-1"/>
      </sharedItems>
    </cacheField>
    <cacheField name="[factura].[id_provedor].[id_provedor]" caption="id_provedor" numFmtId="0" hierarchy="8" level="1">
      <sharedItems count="1">
        <s v="1"/>
      </sharedItems>
    </cacheField>
  </cacheFields>
  <cacheHierarchies count="38">
    <cacheHierarchy uniqueName="[cliente].[id_cliente]" caption="id_cliente" attribute="1" defaultMemberUniqueName="[cliente].[id_cliente].[All]" allUniqueName="[cliente].[id_cliente].[All]" dimensionUniqueName="[cliente]" displayFolder="" count="0" memberValueDatatype="130" unbalanced="0"/>
    <cacheHierarchy uniqueName="[cliente].[cuit]" caption="cuit" attribute="1" defaultMemberUniqueName="[cliente].[cuit].[All]" allUniqueName="[cliente].[cuit].[All]" dimensionUniqueName="[cliente]" displayFolder="" count="0" memberValueDatatype="130" unbalanced="0"/>
    <cacheHierarchy uniqueName="[cliente].[razon_social]" caption="razon_social" attribute="1" defaultMemberUniqueName="[cliente].[razon_social].[All]" allUniqueName="[cliente].[razon_social].[All]" dimensionUniqueName="[cliente]" displayFolder="" count="0" memberValueDatatype="130" unbalanced="0"/>
    <cacheHierarchy uniqueName="[cliente].[domicilio]" caption="domicilio" attribute="1" defaultMemberUniqueName="[cliente].[domicilio].[All]" allUniqueName="[cliente].[domicilio].[All]" dimensionUniqueName="[cliente]" displayFolder="" count="0" memberValueDatatype="130" unbalanced="0"/>
    <cacheHierarchy uniqueName="[cliente].[localidad]" caption="localidad" attribute="1" defaultMemberUniqueName="[cliente].[localidad].[All]" allUniqueName="[cliente].[localidad].[All]" dimensionUniqueName="[cliente]" displayFolder="" count="0" memberValueDatatype="130" unbalanced="0"/>
    <cacheHierarchy uniqueName="[cliente].[cp]" caption="cp" attribute="1" defaultMemberUniqueName="[cliente].[cp].[All]" allUniqueName="[cliente].[cp].[All]" dimensionUniqueName="[cliente]" displayFolder="" count="0" memberValueDatatype="130" unbalanced="0"/>
    <cacheHierarchy uniqueName="[factura].[id_factura]" caption="id_factura" attribute="1" defaultMemberUniqueName="[factura].[id_factura].[All]" allUniqueName="[factura].[id_factura].[All]" dimensionUniqueName="[factura]" displayFolder="" count="2" memberValueDatatype="130" unbalanced="0">
      <fieldsUsage count="2">
        <fieldUsage x="-1"/>
        <fieldUsage x="1"/>
      </fieldsUsage>
    </cacheHierarchy>
    <cacheHierarchy uniqueName="[factura].[id_cliente]" caption="id_cliente" attribute="1" defaultMemberUniqueName="[factura].[id_cliente].[All]" allUniqueName="[factura].[id_cliente].[All]" dimensionUniqueName="[factura]" displayFolder="" count="2" memberValueDatatype="130" unbalanced="0">
      <fieldsUsage count="2">
        <fieldUsage x="-1"/>
        <fieldUsage x="2"/>
      </fieldsUsage>
    </cacheHierarchy>
    <cacheHierarchy uniqueName="[factura].[id_provedor]" caption="id_provedor" attribute="1" defaultMemberUniqueName="[factura].[id_provedor].[All]" allUniqueName="[factura].[id_provedor].[All]" dimensionUniqueName="[factura]" displayFolder="" count="2" memberValueDatatype="130" unbalanced="0">
      <fieldsUsage count="2">
        <fieldUsage x="-1"/>
        <fieldUsage x="3"/>
      </fieldsUsage>
    </cacheHierarchy>
    <cacheHierarchy uniqueName="[factura].[id_tipo_factura]" caption="id_tipo_factura" attribute="1" defaultMemberUniqueName="[factura].[id_tipo_factura].[All]" allUniqueName="[factura].[id_tipo_factura].[All]" dimensionUniqueName="[factura]" displayFolder="" count="2" memberValueDatatype="20" unbalanced="0">
      <fieldsUsage count="2">
        <fieldUsage x="-1"/>
        <fieldUsage x="0"/>
      </fieldsUsage>
    </cacheHierarchy>
    <cacheHierarchy uniqueName="[factura_electricidad].[id_tipo_factura]" caption="id_tipo_factura" attribute="1" defaultMemberUniqueName="[factura_electricidad].[id_tipo_factura].[All]" allUniqueName="[factura_electricidad].[id_tipo_factura].[All]" dimensionUniqueName="[factura_electricidad]" displayFolder="" count="0" memberValueDatatype="20" unbalanced="0"/>
    <cacheHierarchy uniqueName="[factura_electricidad].[mes_liquidado]" caption="mes_liquidado" attribute="1" defaultMemberUniqueName="[factura_electricidad].[mes_liquidado].[All]" allUniqueName="[factura_electricidad].[mes_liquidado].[All]" dimensionUniqueName="[factura_electricidad]" displayFolder="" count="0" memberValueDatatype="130" unbalanced="0"/>
    <cacheHierarchy uniqueName="[factura_electricidad].[energia_liquidada_kwh]" caption="energia_liquidada_kwh" attribute="1" defaultMemberUniqueName="[factura_electricidad].[energia_liquidada_kwh].[All]" allUniqueName="[factura_electricidad].[energia_liquidada_kwh].[All]" dimensionUniqueName="[factura_electricidad]" displayFolder="" count="0" memberValueDatatype="5" unbalanced="0"/>
    <cacheHierarchy uniqueName="[factura_electricidad].[vencimiento]" caption="vencimiento" attribute="1" defaultMemberUniqueName="[factura_electricidad].[vencimiento].[All]" allUniqueName="[factura_electricidad].[vencimiento].[All]" dimensionUniqueName="[factura_electricidad]" displayFolder="" count="0" memberValueDatatype="130" unbalanced="0"/>
    <cacheHierarchy uniqueName="[factura_electricidad].[monto]" caption="monto" attribute="1" defaultMemberUniqueName="[factura_electricidad].[monto].[All]" allUniqueName="[factura_electricidad].[monto].[All]" dimensionUniqueName="[factura_electricidad]" displayFolder="" count="0" memberValueDatatype="130" unbalanced="0"/>
    <cacheHierarchy uniqueName="[factura_electricidad].[prox_vencimiento]" caption="prox_vencimiento" attribute="1" defaultMemberUniqueName="[factura_electricidad].[prox_vencimiento].[All]" allUniqueName="[factura_electricidad].[prox_vencimiento].[All]" dimensionUniqueName="[factura_electricidad]" displayFolder="" count="0" memberValueDatatype="130" unbalanced="0"/>
    <cacheHierarchy uniqueName="[provedor].[id_provedor]" caption="id_provedor" attribute="1" defaultMemberUniqueName="[provedor].[id_provedor].[All]" allUniqueName="[provedor].[id_provedor].[All]" dimensionUniqueName="[provedor]" displayFolder="" count="0" memberValueDatatype="130" unbalanced="0"/>
    <cacheHierarchy uniqueName="[provedor].[cuit]" caption="cuit" attribute="1" defaultMemberUniqueName="[provedor].[cuit].[All]" allUniqueName="[provedor].[cuit].[All]" dimensionUniqueName="[provedor]" displayFolder="" count="0" memberValueDatatype="130" unbalanced="0"/>
    <cacheHierarchy uniqueName="[provedor].[razon_social]" caption="razon_social" attribute="1" defaultMemberUniqueName="[provedor].[razon_social].[All]" allUniqueName="[provedor].[razon_social].[All]" dimensionUniqueName="[provedor]" displayFolder="" count="0" memberValueDatatype="130" unbalanced="0"/>
    <cacheHierarchy uniqueName="[provedor].[domicilio]" caption="domicilio" attribute="1" defaultMemberUniqueName="[provedor].[domicilio].[All]" allUniqueName="[provedor].[domicilio].[All]" dimensionUniqueName="[provedor]" displayFolder="" count="0" memberValueDatatype="130" unbalanced="0"/>
    <cacheHierarchy uniqueName="[provedor].[localidad]" caption="localidad" attribute="1" defaultMemberUniqueName="[provedor].[localidad].[All]" allUniqueName="[provedor].[localidad].[All]" dimensionUniqueName="[provedor]" displayFolder="" count="0" memberValueDatatype="130" unbalanced="0"/>
    <cacheHierarchy uniqueName="[provedor].[cp]" caption="cp" attribute="1" defaultMemberUniqueName="[provedor].[cp].[All]" allUniqueName="[provedor].[cp].[All]" dimensionUniqueName="[provedor]" displayFolder="" count="0" memberValueDatatype="130" unbalanced="0"/>
    <cacheHierarchy uniqueName="[provedor].[provincia]" caption="provincia" attribute="1" defaultMemberUniqueName="[provedor].[provincia].[All]" allUniqueName="[provedor].[provincia].[All]" dimensionUniqueName="[provedor]" displayFolder="" count="0" memberValueDatatype="130" unbalanced="0"/>
    <cacheHierarchy uniqueName="[provedor].[iva%]" caption="iva%" attribute="1" defaultMemberUniqueName="[provedor].[iva%].[All]" allUniqueName="[provedor].[iva%].[All]" dimensionUniqueName="[provedor]" displayFolder="" count="0" memberValueDatatype="5" unbalanced="0"/>
    <cacheHierarchy uniqueName="[provedor].[iibb%]" caption="iibb%" attribute="1" defaultMemberUniqueName="[provedor].[iibb%].[All]" allUniqueName="[provedor].[iibb%].[All]" dimensionUniqueName="[provedor]" displayFolder="" count="0" memberValueDatatype="5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Measures].[__XL_Count cliente]" caption="__XL_Count cliente" measure="1" displayFolder="" measureGroup="cliente" count="0" hidden="1"/>
    <cacheHierarchy uniqueName="[Measures].[__XL_Count factura]" caption="__XL_Count factura" measure="1" displayFolder="" measureGroup="factura" count="0" hidden="1"/>
    <cacheHierarchy uniqueName="[Measures].[__XL_Count factura_electricidad]" caption="__XL_Count factura_electricidad" measure="1" displayFolder="" measureGroup="factura_electricidad" count="0" hidden="1"/>
    <cacheHierarchy uniqueName="[Measures].[__XL_Count provedor]" caption="__XL_Count provedor" measure="1" displayFolder="" measureGroup="provedor" count="0" hidden="1"/>
    <cacheHierarchy uniqueName="[Measures].[__XL_Count sysdiagrams]" caption="__XL_Count sysdiagrams" measure="1" displayFolder="" measureGroup="sysdiagrams" count="0" hidden="1"/>
    <cacheHierarchy uniqueName="[Measures].[__No measures defined]" caption="__No measures defined" measure="1" displayFolder="" count="0" hidden="1"/>
    <cacheHierarchy uniqueName="[Measures].[Count of id_cliente]" caption="Count of id_cliente" measure="1" displayFolder="" measureGroup="client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id_tipo_factura]" caption="Sum of id_tipo_factura" measure="1" displayFolder="" measureGroup="factur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id_tipo_factura 2]" caption="Sum of id_tipo_factura 2" measure="1" displayFolder="" measureGroup="factura_electricidad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6">
    <dimension name="cliente" uniqueName="[cliente]" caption="cliente"/>
    <dimension name="factura" uniqueName="[factura]" caption="factura"/>
    <dimension name="factura_electricidad" uniqueName="[factura_electricidad]" caption="factura_electricidad"/>
    <dimension measure="1" name="Measures" uniqueName="[Measures]" caption="Measures"/>
    <dimension name="provedor" uniqueName="[provedor]" caption="provedor"/>
    <dimension name="sysdiagrams" uniqueName="[sysdiagrams]" caption="sysdiagrams"/>
  </dimensions>
  <measureGroups count="5">
    <measureGroup name="cliente" caption="cliente"/>
    <measureGroup name="factura" caption="factura"/>
    <measureGroup name="factura_electricidad" caption="factura_electricidad"/>
    <measureGroup name="provedor" caption="provedor"/>
    <measureGroup name="sysdiagrams" caption="sysdiagrams"/>
  </measureGroups>
  <maps count="8">
    <map measureGroup="0" dimension="0"/>
    <map measureGroup="1" dimension="0"/>
    <map measureGroup="1" dimension="1"/>
    <map measureGroup="1" dimension="2"/>
    <map measureGroup="1" dimension="4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5"/>
    <field x="0"/>
    <field x="1"/>
    <field x="2"/>
    <field x="3"/>
    <field x="4"/>
  </rowFields>
  <rowItems count="1">
    <i>
      <x/>
      <x/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6">
    <rowHierarchyUsage hierarchyUsage="0"/>
    <rowHierarchyUsage hierarchyUsage="1"/>
    <rowHierarchyUsage hierarchyUsage="2"/>
    <rowHierarchyUsage hierarchyUsage="3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CPX-9ACF67OYL6Y_SQLTELEFONICA telefonica Multiple Tables"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2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:D2" firstHeaderRow="1" firstDataRow="1" firstDataCol="4"/>
  <pivotFields count="4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2"/>
    <field x="3"/>
    <field x="1"/>
  </rowFields>
  <rowItems count="1">
    <i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9"/>
    <rowHierarchyUsage hierarchyUsage="7"/>
    <rowHierarchyUsage hierarchyUsage="8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3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5"/>
    <field x="0"/>
    <field x="1"/>
    <field x="2"/>
    <field x="4"/>
    <field x="3"/>
  </rowFields>
  <rowItems count="1">
    <i>
      <x/>
      <x/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6">
    <rowHierarchyUsage hierarchyUsage="10"/>
    <rowHierarchyUsage hierarchyUsage="11"/>
    <rowHierarchyUsage hierarchyUsage="12"/>
    <rowHierarchyUsage hierarchyUsage="13"/>
    <rowHierarchyUsage hierarchyUsage="15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4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:I2" firstHeaderRow="1" firstDataRow="1" firstDataCol="9"/>
  <pivotFields count="9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0"/>
    <field x="1"/>
    <field x="2"/>
    <field x="3"/>
    <field x="4"/>
    <field x="5"/>
    <field x="6"/>
    <field x="7"/>
    <field x="8"/>
  </rowFields>
  <rowItems count="1">
    <i>
      <x/>
      <x/>
      <x/>
      <x/>
      <x/>
      <x/>
      <x/>
      <x/>
      <x/>
    </i>
  </rowItem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9">
    <rowHierarchyUsage hierarchyUsage="16"/>
    <rowHierarchyUsage hierarchyUsage="17"/>
    <rowHierarchyUsage hierarchyUsage="18"/>
    <rowHierarchyUsage hierarchyUsage="19"/>
    <rowHierarchyUsage hierarchyUsage="20"/>
    <rowHierarchyUsage hierarchyUsage="21"/>
    <rowHierarchyUsage hierarchyUsage="22"/>
    <rowHierarchyUsage hierarchyUsage="23"/>
    <rowHierarchyUsage hierarchyUsage="2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liente]"/>
        <x15:activeTabTopLevelEntity name="[factura]"/>
        <x15:activeTabTopLevelEntity name="[factura_electricidad]"/>
        <x15:activeTabTopLevelEntity name="[provedor]"/>
        <x15:activeTabTopLevelEntity name="[sysdiagrams]"/>
      </x15:pivotTableUISettings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tables/table1.xml><?xml version="1.0" encoding="utf-8"?>
<table xmlns="http://schemas.openxmlformats.org/spreadsheetml/2006/main" id="1" name="Table1" displayName="Table1" ref="A1:AC2" insertRow="1" totalsRowShown="0" headerRowDxfId="18" headerRowBorderDxfId="17" tableBorderDxfId="16">
  <autoFilter ref="A1:AC2"/>
  <tableColumns count="29">
    <tableColumn id="1" name="Sociedad"/>
    <tableColumn id="2" name="Código de Proveedor SAP"/>
    <tableColumn id="3" name="n factura"/>
    <tableColumn id="4" name="fecha vencimiento"/>
    <tableColumn id="5" name="FechaBase"/>
    <tableColumn id="6" name="Importe Total"/>
    <tableColumn id="7" name="Categoria de Costo"/>
    <tableColumn id="8" name="ViaPago"/>
    <tableColumn id="9" name="ViaPagoSuplem"/>
    <tableColumn id="10" name="PEDIDO 2012"/>
    <tableColumn id="11" name="POS"/>
    <tableColumn id="12" name="BancoPropio"/>
    <tableColumn id="13" name="BancoInter"/>
    <tableColumn id="14" name="CC Centralizado Número"/>
    <tableColumn id="15" name="Nombre Recep Alter"/>
    <tableColumn id="16" name="Medidor"/>
    <tableColumn id="17" name="Partida"/>
    <tableColumn id="18" name="Retenciones"/>
    <tableColumn id="19" name="ArchivoSalida"/>
    <tableColumn id="20" name="NIF"/>
    <tableColumn id="21" name="tbpSoloIVA27"/>
    <tableColumn id="22" name="tbpSoloIVA21"/>
    <tableColumn id="23" name="tbpSoloIIBB"/>
    <tableColumn id="24" name="tbpSoloPorcIIBB"/>
    <tableColumn id="25" name="tbpTipoIIBB"/>
    <tableColumn id="26" name="tbpSoloPercIVA"/>
    <tableColumn id="27" name="tbpSoloPorcIVA"/>
    <tableColumn id="28" name="HEA"/>
    <tableColumn id="29" name="tbpCodDebBancario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N20" totalsRowShown="0" headerRowDxfId="15" dataDxfId="14">
  <autoFilter ref="A1:N20"/>
  <tableColumns count="14">
    <tableColumn id="14" name="N° Cliente" dataDxfId="13"/>
    <tableColumn id="17" name="Sociedad" dataDxfId="12"/>
    <tableColumn id="15" name="N° Proveedor" dataDxfId="11"/>
    <tableColumn id="16" name="CUIT/NIF" dataDxfId="10"/>
    <tableColumn id="1" name="Razón social" dataDxfId="9"/>
    <tableColumn id="2" name="Telefonica" dataDxfId="8"/>
    <tableColumn id="6" name="Cantidad de Edificios" dataDxfId="7"/>
    <tableColumn id="7" name="Cantidad de Medidores" dataDxfId="6"/>
    <tableColumn id="13" name="Tipo de factura" dataDxfId="5"/>
    <tableColumn id="8" name="IVA" dataDxfId="4"/>
    <tableColumn id="9" name="IVA%" dataDxfId="3"/>
    <tableColumn id="10" name="IVA%2" dataDxfId="2"/>
    <tableColumn id="11" name="IIBB%" dataDxfId="1"/>
    <tableColumn id="12" name="Provincia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"/>
  <sheetViews>
    <sheetView workbookViewId="0">
      <selection activeCell="A2" sqref="A2"/>
    </sheetView>
  </sheetViews>
  <sheetFormatPr defaultRowHeight="15" x14ac:dyDescent="0.25"/>
  <cols>
    <col min="1" max="1" width="12.5703125" bestFit="1" customWidth="1"/>
    <col min="2" max="2" width="15.42578125" bestFit="1" customWidth="1"/>
    <col min="3" max="3" width="34.42578125" bestFit="1" customWidth="1"/>
    <col min="4" max="4" width="13.42578125" bestFit="1" customWidth="1"/>
    <col min="5" max="5" width="18.28515625" bestFit="1" customWidth="1"/>
    <col min="6" max="6" width="5.28515625" customWidth="1"/>
  </cols>
  <sheetData>
    <row r="1" spans="1:6" x14ac:dyDescent="0.25">
      <c r="A1" s="1" t="s">
        <v>30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</row>
    <row r="2" spans="1:6" x14ac:dyDescent="0.25">
      <c r="A2" t="s">
        <v>31</v>
      </c>
      <c r="B2" t="s">
        <v>0</v>
      </c>
      <c r="C2" t="s">
        <v>1</v>
      </c>
      <c r="D2" t="s">
        <v>2</v>
      </c>
      <c r="E2" t="s">
        <v>3</v>
      </c>
      <c r="F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>
      <selection activeCell="Q18" sqref="Q18"/>
    </sheetView>
  </sheetViews>
  <sheetFormatPr defaultRowHeight="15" x14ac:dyDescent="0.25"/>
  <cols>
    <col min="1" max="1" width="16.85546875" bestFit="1" customWidth="1"/>
    <col min="2" max="2" width="12.5703125" bestFit="1" customWidth="1"/>
    <col min="3" max="3" width="14.140625" bestFit="1" customWidth="1"/>
    <col min="4" max="4" width="13.85546875" bestFit="1" customWidth="1"/>
  </cols>
  <sheetData>
    <row r="1" spans="1:4" x14ac:dyDescent="0.25">
      <c r="A1" s="1" t="s">
        <v>10</v>
      </c>
      <c r="B1" s="1" t="s">
        <v>30</v>
      </c>
      <c r="C1" s="1" t="s">
        <v>20</v>
      </c>
      <c r="D1" s="1" t="s">
        <v>32</v>
      </c>
    </row>
    <row r="2" spans="1:4" x14ac:dyDescent="0.25">
      <c r="A2">
        <v>1</v>
      </c>
      <c r="B2" t="s">
        <v>31</v>
      </c>
      <c r="C2" t="s">
        <v>21</v>
      </c>
      <c r="D2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E6" sqref="E6"/>
    </sheetView>
  </sheetViews>
  <sheetFormatPr defaultRowHeight="15" x14ac:dyDescent="0.25"/>
  <cols>
    <col min="1" max="1" width="16.85546875" bestFit="1" customWidth="1"/>
    <col min="2" max="2" width="16.5703125" bestFit="1" customWidth="1"/>
    <col min="3" max="3" width="24.42578125" bestFit="1" customWidth="1"/>
    <col min="4" max="4" width="14.42578125" bestFit="1" customWidth="1"/>
    <col min="5" max="5" width="19.7109375" bestFit="1" customWidth="1"/>
    <col min="7" max="7" width="21.42578125" bestFit="1" customWidth="1"/>
  </cols>
  <sheetData>
    <row r="1" spans="1:6" x14ac:dyDescent="0.25">
      <c r="A1" s="1" t="s">
        <v>10</v>
      </c>
      <c r="B1" s="1" t="s">
        <v>11</v>
      </c>
      <c r="C1" s="1" t="s">
        <v>13</v>
      </c>
      <c r="D1" s="1" t="s">
        <v>14</v>
      </c>
      <c r="E1" s="1" t="s">
        <v>18</v>
      </c>
      <c r="F1" s="1" t="s">
        <v>16</v>
      </c>
    </row>
    <row r="2" spans="1:6" x14ac:dyDescent="0.25">
      <c r="A2">
        <v>1</v>
      </c>
      <c r="B2" t="s">
        <v>12</v>
      </c>
      <c r="C2">
        <v>6840</v>
      </c>
      <c r="D2" t="s">
        <v>15</v>
      </c>
      <c r="E2" t="s">
        <v>19</v>
      </c>
      <c r="F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"/>
  <sheetViews>
    <sheetView workbookViewId="0">
      <selection activeCell="A2" sqref="A2"/>
    </sheetView>
  </sheetViews>
  <sheetFormatPr defaultRowHeight="15" x14ac:dyDescent="0.25"/>
  <cols>
    <col min="1" max="1" width="14.140625" customWidth="1"/>
    <col min="2" max="2" width="13.5703125" bestFit="1" customWidth="1"/>
    <col min="3" max="3" width="14.140625" bestFit="1" customWidth="1"/>
    <col min="4" max="4" width="12.7109375" bestFit="1" customWidth="1"/>
    <col min="5" max="5" width="16.42578125" bestFit="1" customWidth="1"/>
    <col min="6" max="6" width="5.28515625" customWidth="1"/>
    <col min="7" max="7" width="13.85546875" bestFit="1" customWidth="1"/>
    <col min="8" max="8" width="7.42578125" customWidth="1"/>
    <col min="9" max="9" width="8.28515625" customWidth="1"/>
  </cols>
  <sheetData>
    <row r="1" spans="1:9" x14ac:dyDescent="0.25">
      <c r="A1" s="1" t="s">
        <v>20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26</v>
      </c>
      <c r="H1" s="1" t="s">
        <v>28</v>
      </c>
      <c r="I1" s="1" t="s">
        <v>29</v>
      </c>
    </row>
    <row r="2" spans="1:9" x14ac:dyDescent="0.25">
      <c r="A2" t="s">
        <v>21</v>
      </c>
      <c r="B2" t="s">
        <v>22</v>
      </c>
      <c r="C2" t="s">
        <v>23</v>
      </c>
      <c r="D2" t="s">
        <v>24</v>
      </c>
      <c r="E2" t="s">
        <v>3</v>
      </c>
      <c r="F2" t="s">
        <v>25</v>
      </c>
      <c r="G2" t="s">
        <v>27</v>
      </c>
      <c r="H2">
        <v>27</v>
      </c>
      <c r="I2">
        <v>20.239999999999998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1"/>
  <sheetViews>
    <sheetView showGridLines="0" topLeftCell="M1" workbookViewId="0">
      <pane ySplit="1" topLeftCell="A2" activePane="bottomLeft" state="frozen"/>
      <selection pane="bottomLeft" activeCell="D17" sqref="D17"/>
    </sheetView>
  </sheetViews>
  <sheetFormatPr defaultRowHeight="15" x14ac:dyDescent="0.25"/>
  <cols>
    <col min="1" max="1" width="11.7109375" customWidth="1"/>
    <col min="2" max="2" width="26.85546875" customWidth="1"/>
    <col min="3" max="3" width="11.140625" customWidth="1"/>
    <col min="4" max="4" width="19.85546875" customWidth="1"/>
    <col min="5" max="5" width="13.140625" customWidth="1"/>
    <col min="6" max="6" width="15.28515625" customWidth="1"/>
    <col min="7" max="7" width="20.42578125" customWidth="1"/>
    <col min="8" max="8" width="10.85546875" customWidth="1"/>
    <col min="9" max="9" width="17.85546875" customWidth="1"/>
    <col min="10" max="10" width="14.7109375" customWidth="1"/>
    <col min="12" max="12" width="14.85546875" customWidth="1"/>
    <col min="13" max="13" width="13" customWidth="1"/>
    <col min="14" max="14" width="25.5703125" customWidth="1"/>
    <col min="15" max="15" width="21.42578125" customWidth="1"/>
    <col min="16" max="16" width="10.5703125" customWidth="1"/>
    <col min="17" max="17" width="9.7109375" customWidth="1"/>
    <col min="18" max="18" width="14.28515625" customWidth="1"/>
    <col min="19" max="19" width="15.85546875" customWidth="1"/>
    <col min="21" max="22" width="15.28515625" customWidth="1"/>
    <col min="23" max="23" width="13.85546875" customWidth="1"/>
    <col min="24" max="24" width="18" customWidth="1"/>
    <col min="25" max="25" width="13.7109375" customWidth="1"/>
    <col min="26" max="27" width="17.42578125" customWidth="1"/>
    <col min="29" max="29" width="21.28515625" customWidth="1"/>
  </cols>
  <sheetData>
    <row r="1" spans="1:29" ht="13.5" customHeight="1" x14ac:dyDescent="0.25">
      <c r="A1" s="2" t="s">
        <v>34</v>
      </c>
      <c r="B1" s="2" t="s">
        <v>35</v>
      </c>
      <c r="C1" s="2" t="s">
        <v>36</v>
      </c>
      <c r="D1" s="2" t="s">
        <v>37</v>
      </c>
      <c r="E1" s="3" t="s">
        <v>38</v>
      </c>
      <c r="F1" s="2" t="s">
        <v>39</v>
      </c>
      <c r="G1" s="2" t="s">
        <v>40</v>
      </c>
      <c r="H1" s="2" t="s">
        <v>41</v>
      </c>
      <c r="I1" s="2" t="s">
        <v>42</v>
      </c>
      <c r="J1" s="3" t="s">
        <v>43</v>
      </c>
      <c r="K1" s="3" t="s">
        <v>44</v>
      </c>
      <c r="L1" s="2" t="s">
        <v>45</v>
      </c>
      <c r="M1" s="3" t="s">
        <v>46</v>
      </c>
      <c r="N1" s="3" t="s">
        <v>47</v>
      </c>
      <c r="O1" s="3" t="s">
        <v>48</v>
      </c>
      <c r="P1" s="2" t="s">
        <v>49</v>
      </c>
      <c r="Q1" s="3" t="s">
        <v>50</v>
      </c>
      <c r="R1" s="3" t="s">
        <v>51</v>
      </c>
      <c r="S1" s="3" t="s">
        <v>52</v>
      </c>
      <c r="T1" s="2" t="s">
        <v>53</v>
      </c>
      <c r="U1" s="2" t="s">
        <v>54</v>
      </c>
      <c r="V1" s="2" t="s">
        <v>55</v>
      </c>
      <c r="W1" s="2" t="s">
        <v>56</v>
      </c>
      <c r="X1" s="2" t="s">
        <v>57</v>
      </c>
      <c r="Y1" s="2" t="s">
        <v>58</v>
      </c>
      <c r="Z1" s="2" t="s">
        <v>59</v>
      </c>
      <c r="AA1" s="2" t="s">
        <v>60</v>
      </c>
      <c r="AB1" s="2" t="s">
        <v>61</v>
      </c>
      <c r="AC1" s="3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AO20"/>
  <sheetViews>
    <sheetView showGridLines="0" tabSelected="1" workbookViewId="0">
      <pane ySplit="1" topLeftCell="A2" activePane="bottomLeft" state="frozen"/>
      <selection pane="bottomLeft" activeCell="E28" sqref="E28"/>
    </sheetView>
  </sheetViews>
  <sheetFormatPr defaultRowHeight="15" x14ac:dyDescent="0.25"/>
  <cols>
    <col min="1" max="1" width="14.5703125" style="9" bestFit="1" customWidth="1"/>
    <col min="2" max="2" width="14.5703125" style="9" customWidth="1"/>
    <col min="3" max="3" width="17.42578125" style="9" bestFit="1" customWidth="1"/>
    <col min="4" max="4" width="17.42578125" style="9" customWidth="1"/>
    <col min="5" max="5" width="47.28515625" style="5" bestFit="1" customWidth="1"/>
    <col min="6" max="6" width="12.5703125" style="5" bestFit="1" customWidth="1"/>
    <col min="7" max="7" width="16.140625" style="5" customWidth="1"/>
    <col min="8" max="9" width="21.5703125" style="5" customWidth="1"/>
    <col min="10" max="11" width="8" style="5" bestFit="1" customWidth="1"/>
    <col min="12" max="12" width="7.85546875" style="5" customWidth="1"/>
    <col min="13" max="13" width="8.5703125" style="5" bestFit="1" customWidth="1"/>
    <col min="14" max="14" width="13.7109375" style="9" bestFit="1" customWidth="1"/>
    <col min="15" max="15" width="11.28515625" style="5" customWidth="1"/>
    <col min="16" max="16384" width="9.140625" style="5"/>
  </cols>
  <sheetData>
    <row r="1" spans="1:14 16265:16265" x14ac:dyDescent="0.25">
      <c r="A1" s="9" t="s">
        <v>95</v>
      </c>
      <c r="B1" s="9" t="s">
        <v>34</v>
      </c>
      <c r="C1" s="9" t="s">
        <v>94</v>
      </c>
      <c r="D1" s="9" t="s">
        <v>96</v>
      </c>
      <c r="E1" s="5" t="s">
        <v>97</v>
      </c>
      <c r="F1" s="5" t="s">
        <v>91</v>
      </c>
      <c r="G1" s="5" t="s">
        <v>63</v>
      </c>
      <c r="H1" s="5" t="s">
        <v>64</v>
      </c>
      <c r="I1" s="5" t="s">
        <v>98</v>
      </c>
      <c r="J1" s="5" t="s">
        <v>67</v>
      </c>
      <c r="K1" s="5" t="s">
        <v>88</v>
      </c>
      <c r="L1" s="5" t="s">
        <v>93</v>
      </c>
      <c r="M1" s="5" t="s">
        <v>89</v>
      </c>
      <c r="N1" s="9" t="s">
        <v>90</v>
      </c>
      <c r="XAO1" s="6" t="s">
        <v>65</v>
      </c>
    </row>
    <row r="2" spans="1:14 16265:16265" x14ac:dyDescent="0.25">
      <c r="A2" s="4"/>
      <c r="B2" s="10" t="s">
        <v>99</v>
      </c>
      <c r="C2" s="4"/>
      <c r="D2" s="4">
        <v>30655116512</v>
      </c>
      <c r="E2" s="7" t="s">
        <v>66</v>
      </c>
      <c r="F2" s="4" t="s">
        <v>68</v>
      </c>
      <c r="G2" s="8"/>
      <c r="H2" s="8"/>
      <c r="I2" s="8"/>
      <c r="J2" s="4" t="s">
        <v>67</v>
      </c>
      <c r="K2" s="4">
        <v>27</v>
      </c>
      <c r="L2" s="4">
        <v>3</v>
      </c>
      <c r="M2" s="7" t="s">
        <v>70</v>
      </c>
      <c r="N2" s="4" t="s">
        <v>69</v>
      </c>
      <c r="XAO2" s="6"/>
    </row>
    <row r="3" spans="1:14 16265:16265" x14ac:dyDescent="0.25">
      <c r="A3" s="4" t="s">
        <v>31</v>
      </c>
      <c r="B3" s="10" t="s">
        <v>100</v>
      </c>
      <c r="C3" s="4"/>
      <c r="D3" s="4">
        <v>30655116512</v>
      </c>
      <c r="E3" s="7" t="s">
        <v>66</v>
      </c>
      <c r="F3" s="4" t="s">
        <v>101</v>
      </c>
      <c r="G3" s="8"/>
      <c r="H3" s="8"/>
      <c r="I3" s="8"/>
      <c r="J3" s="4" t="s">
        <v>67</v>
      </c>
      <c r="K3" s="4">
        <v>27</v>
      </c>
      <c r="L3" s="4">
        <v>3</v>
      </c>
      <c r="M3" s="7" t="s">
        <v>70</v>
      </c>
      <c r="N3" s="4" t="s">
        <v>69</v>
      </c>
      <c r="XAO3" s="6"/>
    </row>
    <row r="4" spans="1:14 16265:16265" x14ac:dyDescent="0.25">
      <c r="A4" s="4"/>
      <c r="B4" s="4"/>
      <c r="C4" s="4"/>
      <c r="D4" s="4"/>
      <c r="E4" s="7" t="s">
        <v>72</v>
      </c>
      <c r="F4" s="4" t="s">
        <v>68</v>
      </c>
      <c r="G4" s="8"/>
      <c r="H4" s="8"/>
      <c r="I4" s="8"/>
      <c r="J4" s="4" t="s">
        <v>67</v>
      </c>
      <c r="K4" s="4">
        <v>27</v>
      </c>
      <c r="L4" s="4">
        <v>3</v>
      </c>
      <c r="M4" s="7" t="s">
        <v>70</v>
      </c>
      <c r="N4" s="4" t="s">
        <v>69</v>
      </c>
      <c r="XAO4" s="6"/>
    </row>
    <row r="5" spans="1:14 16265:16265" x14ac:dyDescent="0.25">
      <c r="A5" s="4"/>
      <c r="B5" s="4"/>
      <c r="C5" s="4"/>
      <c r="D5" s="4"/>
      <c r="E5" s="7" t="s">
        <v>72</v>
      </c>
      <c r="F5" s="4" t="s">
        <v>71</v>
      </c>
      <c r="G5" s="8"/>
      <c r="H5" s="8"/>
      <c r="I5" s="8"/>
      <c r="J5" s="4" t="s">
        <v>67</v>
      </c>
      <c r="K5" s="4">
        <v>27</v>
      </c>
      <c r="L5" s="4">
        <v>3</v>
      </c>
      <c r="M5" s="7" t="s">
        <v>70</v>
      </c>
      <c r="N5" s="4" t="s">
        <v>69</v>
      </c>
      <c r="XAO5" s="6"/>
    </row>
    <row r="6" spans="1:14 16265:16265" x14ac:dyDescent="0.25">
      <c r="A6" s="4"/>
      <c r="B6" s="4"/>
      <c r="C6" s="4"/>
      <c r="D6" s="4"/>
      <c r="E6" s="7" t="s">
        <v>73</v>
      </c>
      <c r="F6" s="4" t="s">
        <v>68</v>
      </c>
      <c r="G6" s="8"/>
      <c r="H6" s="8"/>
      <c r="I6" s="8"/>
      <c r="J6" s="4" t="s">
        <v>67</v>
      </c>
      <c r="K6" s="4">
        <v>27</v>
      </c>
      <c r="L6" s="4">
        <v>3</v>
      </c>
      <c r="M6" s="7">
        <v>5</v>
      </c>
      <c r="N6" s="4" t="s">
        <v>69</v>
      </c>
      <c r="XAO6" s="6"/>
    </row>
    <row r="7" spans="1:14 16265:16265" x14ac:dyDescent="0.25">
      <c r="A7" s="4"/>
      <c r="B7" s="4"/>
      <c r="C7" s="4"/>
      <c r="D7" s="4"/>
      <c r="E7" s="7" t="s">
        <v>73</v>
      </c>
      <c r="F7" s="4" t="s">
        <v>71</v>
      </c>
      <c r="G7" s="8"/>
      <c r="H7" s="8"/>
      <c r="I7" s="8"/>
      <c r="J7" s="4" t="s">
        <v>67</v>
      </c>
      <c r="K7" s="4">
        <v>27</v>
      </c>
      <c r="L7" s="4">
        <v>3</v>
      </c>
      <c r="M7" s="7">
        <v>2.5</v>
      </c>
      <c r="N7" s="4" t="s">
        <v>69</v>
      </c>
      <c r="XAO7" s="6"/>
    </row>
    <row r="8" spans="1:14 16265:16265" x14ac:dyDescent="0.25">
      <c r="A8" s="4"/>
      <c r="B8" s="4"/>
      <c r="C8" s="4"/>
      <c r="D8" s="4"/>
      <c r="E8" s="7" t="s">
        <v>74</v>
      </c>
      <c r="F8" s="4" t="s">
        <v>68</v>
      </c>
      <c r="G8" s="8"/>
      <c r="H8" s="8"/>
      <c r="I8" s="8"/>
      <c r="J8" s="4" t="s">
        <v>67</v>
      </c>
      <c r="K8" s="4">
        <v>27</v>
      </c>
      <c r="L8" s="4">
        <v>3</v>
      </c>
      <c r="M8" s="7">
        <v>5</v>
      </c>
      <c r="N8" s="4" t="s">
        <v>69</v>
      </c>
      <c r="XAO8" s="6"/>
    </row>
    <row r="9" spans="1:14 16265:16265" x14ac:dyDescent="0.25">
      <c r="A9" s="4"/>
      <c r="B9" s="4"/>
      <c r="C9" s="4"/>
      <c r="D9" s="4"/>
      <c r="E9" s="7" t="s">
        <v>74</v>
      </c>
      <c r="F9" s="4" t="s">
        <v>71</v>
      </c>
      <c r="G9" s="8"/>
      <c r="H9" s="8"/>
      <c r="I9" s="8"/>
      <c r="J9" s="4" t="s">
        <v>67</v>
      </c>
      <c r="K9" s="4">
        <v>27</v>
      </c>
      <c r="L9" s="4">
        <v>3</v>
      </c>
      <c r="M9" s="7" t="s">
        <v>75</v>
      </c>
      <c r="N9" s="4" t="s">
        <v>69</v>
      </c>
      <c r="XAO9" s="6"/>
    </row>
    <row r="10" spans="1:14 16265:16265" x14ac:dyDescent="0.25">
      <c r="A10" s="4"/>
      <c r="B10" s="4"/>
      <c r="C10" s="4"/>
      <c r="D10" s="4"/>
      <c r="E10" s="7" t="s">
        <v>76</v>
      </c>
      <c r="F10" s="4" t="s">
        <v>68</v>
      </c>
      <c r="G10" s="8"/>
      <c r="H10" s="8"/>
      <c r="I10" s="8"/>
      <c r="J10" s="4" t="s">
        <v>67</v>
      </c>
      <c r="K10" s="4">
        <v>27</v>
      </c>
      <c r="L10" s="4"/>
      <c r="M10" s="7">
        <v>5.5</v>
      </c>
      <c r="N10" s="4" t="s">
        <v>77</v>
      </c>
      <c r="XAO10" s="6"/>
    </row>
    <row r="11" spans="1:14 16265:16265" x14ac:dyDescent="0.25">
      <c r="A11" s="4"/>
      <c r="B11" s="4"/>
      <c r="C11" s="4"/>
      <c r="D11" s="4"/>
      <c r="E11" s="7" t="s">
        <v>76</v>
      </c>
      <c r="F11" s="4" t="s">
        <v>71</v>
      </c>
      <c r="G11" s="8"/>
      <c r="H11" s="8"/>
      <c r="I11" s="8"/>
      <c r="J11" s="4" t="s">
        <v>67</v>
      </c>
      <c r="K11" s="4">
        <v>27</v>
      </c>
      <c r="L11" s="4"/>
      <c r="M11" s="7">
        <v>5.5</v>
      </c>
      <c r="N11" s="4" t="s">
        <v>77</v>
      </c>
      <c r="XAO11" s="6"/>
    </row>
    <row r="12" spans="1:14 16265:16265" x14ac:dyDescent="0.25">
      <c r="A12" s="4"/>
      <c r="B12" s="4"/>
      <c r="C12" s="4"/>
      <c r="D12" s="4"/>
      <c r="E12" s="7" t="s">
        <v>92</v>
      </c>
      <c r="F12" s="4"/>
      <c r="G12" s="8"/>
      <c r="H12" s="8"/>
      <c r="I12" s="8"/>
      <c r="J12" s="4" t="s">
        <v>67</v>
      </c>
      <c r="K12" s="4">
        <v>27</v>
      </c>
      <c r="L12" s="4">
        <v>3</v>
      </c>
      <c r="M12" s="4"/>
      <c r="XAO12" s="6" t="s">
        <v>78</v>
      </c>
    </row>
    <row r="13" spans="1:14 16265:16265" x14ac:dyDescent="0.25">
      <c r="A13" s="4"/>
      <c r="B13" s="4"/>
      <c r="C13" s="4"/>
      <c r="D13" s="4"/>
      <c r="E13" s="7" t="s">
        <v>79</v>
      </c>
      <c r="F13" s="4"/>
      <c r="G13" s="8"/>
      <c r="H13" s="8"/>
      <c r="I13" s="8"/>
      <c r="J13" s="4" t="s">
        <v>67</v>
      </c>
      <c r="K13" s="4">
        <v>27</v>
      </c>
      <c r="L13" s="4"/>
      <c r="M13" s="4"/>
      <c r="XAO13" s="6"/>
    </row>
    <row r="14" spans="1:14 16265:16265" x14ac:dyDescent="0.25">
      <c r="A14" s="4"/>
      <c r="B14" s="4"/>
      <c r="C14" s="4"/>
      <c r="D14" s="4"/>
      <c r="E14" s="7" t="s">
        <v>80</v>
      </c>
      <c r="F14" s="4" t="s">
        <v>68</v>
      </c>
      <c r="G14" s="8"/>
      <c r="H14" s="8"/>
      <c r="I14" s="8"/>
      <c r="J14" s="4" t="s">
        <v>67</v>
      </c>
      <c r="K14" s="4">
        <v>27</v>
      </c>
      <c r="L14" s="4"/>
      <c r="M14" s="7" t="s">
        <v>70</v>
      </c>
      <c r="N14" s="4" t="s">
        <v>69</v>
      </c>
      <c r="XAO14" s="6"/>
    </row>
    <row r="15" spans="1:14 16265:16265" x14ac:dyDescent="0.25">
      <c r="A15" s="4"/>
      <c r="B15" s="4"/>
      <c r="C15" s="4"/>
      <c r="D15" s="4"/>
      <c r="E15" s="7" t="s">
        <v>80</v>
      </c>
      <c r="F15" s="4" t="s">
        <v>71</v>
      </c>
      <c r="G15" s="8"/>
      <c r="H15" s="8"/>
      <c r="I15" s="8"/>
      <c r="J15" s="4" t="s">
        <v>67</v>
      </c>
      <c r="K15" s="4">
        <v>27</v>
      </c>
      <c r="L15" s="4"/>
      <c r="M15" s="7" t="s">
        <v>70</v>
      </c>
      <c r="N15" s="4" t="s">
        <v>69</v>
      </c>
      <c r="XAO15" s="6"/>
    </row>
    <row r="16" spans="1:14 16265:16265" x14ac:dyDescent="0.25">
      <c r="A16" s="4"/>
      <c r="B16" s="4"/>
      <c r="C16" s="4"/>
      <c r="D16" s="4"/>
      <c r="E16" s="7" t="s">
        <v>81</v>
      </c>
      <c r="F16" s="4" t="s">
        <v>68</v>
      </c>
      <c r="G16" s="8"/>
      <c r="H16" s="8"/>
      <c r="I16" s="8"/>
      <c r="J16" s="4" t="s">
        <v>67</v>
      </c>
      <c r="K16" s="4" t="s">
        <v>82</v>
      </c>
      <c r="L16" s="4"/>
      <c r="M16" s="7">
        <v>2.5</v>
      </c>
      <c r="N16" s="4" t="s">
        <v>83</v>
      </c>
      <c r="XAO16" s="6"/>
    </row>
    <row r="17" spans="1:14 16265:16265" x14ac:dyDescent="0.25">
      <c r="A17" s="4"/>
      <c r="B17" s="4"/>
      <c r="C17" s="4"/>
      <c r="D17" s="4"/>
      <c r="E17" s="7" t="s">
        <v>81</v>
      </c>
      <c r="F17" s="4" t="s">
        <v>71</v>
      </c>
      <c r="G17" s="8"/>
      <c r="H17" s="8"/>
      <c r="I17" s="8"/>
      <c r="J17" s="4" t="s">
        <v>67</v>
      </c>
      <c r="K17" s="4" t="s">
        <v>82</v>
      </c>
      <c r="L17" s="4"/>
      <c r="M17" s="7">
        <v>2.5</v>
      </c>
      <c r="N17" s="4" t="s">
        <v>83</v>
      </c>
      <c r="XAO17" s="6"/>
    </row>
    <row r="18" spans="1:14 16265:16265" x14ac:dyDescent="0.25">
      <c r="A18" s="4"/>
      <c r="B18" s="4"/>
      <c r="C18" s="4"/>
      <c r="D18" s="4"/>
      <c r="E18" s="7" t="s">
        <v>84</v>
      </c>
      <c r="F18" s="4"/>
      <c r="G18" s="8"/>
      <c r="H18" s="8"/>
      <c r="I18" s="8"/>
      <c r="J18" s="4" t="s">
        <v>67</v>
      </c>
      <c r="K18" s="4">
        <v>27</v>
      </c>
      <c r="L18" s="4"/>
      <c r="M18" s="4"/>
      <c r="XAO18" s="6"/>
    </row>
    <row r="19" spans="1:14 16265:16265" x14ac:dyDescent="0.25">
      <c r="A19" s="4"/>
      <c r="B19" s="4"/>
      <c r="C19" s="4"/>
      <c r="D19" s="4"/>
      <c r="E19" s="7" t="s">
        <v>85</v>
      </c>
      <c r="F19" s="4"/>
      <c r="G19" s="8"/>
      <c r="H19" s="8"/>
      <c r="I19" s="8"/>
      <c r="J19" s="4" t="s">
        <v>67</v>
      </c>
      <c r="K19" s="4">
        <v>27</v>
      </c>
      <c r="L19" s="4">
        <v>3</v>
      </c>
      <c r="M19" s="4"/>
      <c r="XAO19" s="6"/>
    </row>
    <row r="20" spans="1:14 16265:16265" x14ac:dyDescent="0.25">
      <c r="A20" s="4"/>
      <c r="B20" s="4"/>
      <c r="C20" s="4"/>
      <c r="D20" s="4"/>
      <c r="E20" s="7" t="s">
        <v>86</v>
      </c>
      <c r="F20" s="4"/>
      <c r="G20" s="8"/>
      <c r="H20" s="8"/>
      <c r="I20" s="8"/>
      <c r="J20" s="4" t="s">
        <v>87</v>
      </c>
      <c r="K20" s="4"/>
      <c r="L20" s="4"/>
      <c r="M20" s="4"/>
      <c r="XAO20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P22"/>
  <sheetViews>
    <sheetView workbookViewId="0">
      <selection activeCell="S7" sqref="S7"/>
    </sheetView>
  </sheetViews>
  <sheetFormatPr defaultRowHeight="15" x14ac:dyDescent="0.25"/>
  <cols>
    <col min="1" max="2" width="9.140625" style="5"/>
    <col min="3" max="3" width="4.7109375" style="5" customWidth="1"/>
    <col min="4" max="4" width="17" style="11" bestFit="1" customWidth="1"/>
    <col min="5" max="7" width="4.7109375" style="5" customWidth="1"/>
    <col min="8" max="8" width="27.28515625" style="11" bestFit="1" customWidth="1"/>
    <col min="9" max="11" width="4.7109375" style="5" customWidth="1"/>
    <col min="12" max="12" width="36.28515625" style="11" bestFit="1" customWidth="1"/>
    <col min="13" max="15" width="4.7109375" style="5" customWidth="1"/>
    <col min="16" max="16" width="33" style="11" bestFit="1" customWidth="1"/>
    <col min="17" max="16384" width="9.140625" style="5"/>
  </cols>
  <sheetData>
    <row r="2" spans="2:12" x14ac:dyDescent="0.25">
      <c r="B2" s="5" t="s">
        <v>102</v>
      </c>
    </row>
    <row r="3" spans="2:12" x14ac:dyDescent="0.25">
      <c r="B3" s="13">
        <v>1</v>
      </c>
      <c r="C3" s="5" t="s">
        <v>103</v>
      </c>
    </row>
    <row r="4" spans="2:12" x14ac:dyDescent="0.25">
      <c r="B4" s="13">
        <f>B3+1</f>
        <v>2</v>
      </c>
      <c r="C4" s="5" t="s">
        <v>104</v>
      </c>
    </row>
    <row r="5" spans="2:12" x14ac:dyDescent="0.25">
      <c r="B5" s="13">
        <f>B4+1</f>
        <v>3</v>
      </c>
      <c r="C5" s="5" t="s">
        <v>105</v>
      </c>
    </row>
    <row r="6" spans="2:12" x14ac:dyDescent="0.25">
      <c r="C6" s="5" t="s">
        <v>106</v>
      </c>
    </row>
    <row r="10" spans="2:12" x14ac:dyDescent="0.25">
      <c r="B10" s="13">
        <v>1</v>
      </c>
      <c r="D10" s="12" t="s">
        <v>107</v>
      </c>
      <c r="H10" s="12" t="s">
        <v>108</v>
      </c>
      <c r="L10" s="12" t="s">
        <v>109</v>
      </c>
    </row>
    <row r="12" spans="2:12" x14ac:dyDescent="0.25">
      <c r="D12" s="11" t="s">
        <v>113</v>
      </c>
      <c r="H12" s="11" t="s">
        <v>114</v>
      </c>
      <c r="L12" s="11" t="s">
        <v>115</v>
      </c>
    </row>
    <row r="15" spans="2:12" x14ac:dyDescent="0.25">
      <c r="B15" s="13">
        <f>B10+1</f>
        <v>2</v>
      </c>
      <c r="D15" s="12" t="s">
        <v>119</v>
      </c>
      <c r="H15" s="12" t="s">
        <v>120</v>
      </c>
      <c r="L15" s="12" t="s">
        <v>121</v>
      </c>
    </row>
    <row r="17" spans="2:16" x14ac:dyDescent="0.25">
      <c r="D17" s="11" t="s">
        <v>113</v>
      </c>
      <c r="H17" s="11" t="s">
        <v>114</v>
      </c>
      <c r="L17" s="11" t="s">
        <v>117</v>
      </c>
    </row>
    <row r="20" spans="2:16" x14ac:dyDescent="0.25">
      <c r="B20" s="13">
        <f>B15+1</f>
        <v>3</v>
      </c>
      <c r="D20" s="12" t="s">
        <v>122</v>
      </c>
      <c r="H20" s="12" t="s">
        <v>110</v>
      </c>
      <c r="L20" s="12" t="s">
        <v>111</v>
      </c>
      <c r="P20" s="12" t="s">
        <v>112</v>
      </c>
    </row>
    <row r="22" spans="2:16" x14ac:dyDescent="0.25">
      <c r="D22" s="11" t="s">
        <v>113</v>
      </c>
      <c r="H22" s="11" t="s">
        <v>116</v>
      </c>
      <c r="L22" s="11" t="s">
        <v>118</v>
      </c>
      <c r="P22" s="11" t="s">
        <v>117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cliente</vt:lpstr>
      <vt:lpstr>tipo_factura</vt:lpstr>
      <vt:lpstr>facturas</vt:lpstr>
      <vt:lpstr>proveedor</vt:lpstr>
      <vt:lpstr>base_facturas</vt:lpstr>
      <vt:lpstr>impuestos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Bidoggia, Pedro Jose</dc:creator>
  <cp:lastModifiedBy>Venieri, Braian E.</cp:lastModifiedBy>
  <dcterms:created xsi:type="dcterms:W3CDTF">2017-09-21T18:40:46Z</dcterms:created>
  <dcterms:modified xsi:type="dcterms:W3CDTF">2017-10-02T14:43:41Z</dcterms:modified>
</cp:coreProperties>
</file>